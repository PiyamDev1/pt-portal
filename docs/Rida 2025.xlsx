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/>
  <xr:revisionPtr revIDLastSave="0" documentId="8_{65031572-98A7-457E-9522-47F3464C7C9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edger" sheetId="1" r:id="rId1"/>
    <sheet name="Umrah" sheetId="7" r:id="rId2"/>
    <sheet name="Low Fare" sheetId="4" r:id="rId3"/>
    <sheet name="Statistics" sheetId="3" r:id="rId4"/>
    <sheet name="Settings" sheetId="2" r:id="rId5"/>
    <sheet name="Payments" sheetId="9" r:id="rId6"/>
    <sheet name="Vouchers" sheetId="8" r:id="rId7"/>
  </sheets>
  <definedNames>
    <definedName name="_xlnm._FilterDatabase" localSheetId="0" hidden="1">Ledger!$D$1:$K$1</definedName>
  </definedNames>
  <calcPr calcId="191028"/>
  <pivotCaches>
    <pivotCache cacheId="3041" r:id="rId8"/>
    <pivotCache cacheId="3042" r:id="rId9"/>
    <pivotCache cacheId="304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7" i="1" l="1"/>
  <c r="P333" i="1"/>
  <c r="P332" i="1"/>
  <c r="P331" i="1"/>
  <c r="P330" i="1"/>
  <c r="P329" i="1"/>
  <c r="P328" i="1"/>
  <c r="P334" i="1"/>
  <c r="D45" i="9"/>
  <c r="P323" i="1"/>
  <c r="P322" i="1"/>
  <c r="P321" i="1"/>
  <c r="P320" i="1"/>
  <c r="P319" i="1"/>
  <c r="P318" i="1"/>
  <c r="P335" i="1"/>
  <c r="P326" i="1"/>
  <c r="P325" i="1"/>
  <c r="P324" i="1"/>
  <c r="P339" i="1"/>
  <c r="P338" i="1"/>
  <c r="P337" i="1"/>
  <c r="P336" i="1"/>
  <c r="P316" i="1"/>
  <c r="P317" i="1"/>
  <c r="P315" i="1"/>
  <c r="P314" i="1"/>
  <c r="P313" i="1"/>
  <c r="P312" i="1"/>
  <c r="P311" i="1"/>
  <c r="P340" i="1"/>
  <c r="P308" i="1"/>
  <c r="P307" i="1"/>
  <c r="P306" i="1"/>
  <c r="P305" i="1"/>
  <c r="P304" i="1"/>
  <c r="P303" i="1"/>
  <c r="P302" i="1"/>
  <c r="P301" i="1"/>
  <c r="P300" i="1"/>
  <c r="P299" i="1"/>
  <c r="E57" i="9"/>
  <c r="E54" i="9"/>
  <c r="E55" i="9"/>
  <c r="E56" i="9"/>
  <c r="E58" i="9"/>
  <c r="E59" i="9"/>
  <c r="E60" i="9"/>
  <c r="E52" i="9"/>
  <c r="E53" i="9"/>
  <c r="E50" i="9"/>
  <c r="E51" i="9"/>
  <c r="E47" i="9"/>
  <c r="E48" i="9"/>
  <c r="E49" i="9"/>
  <c r="C46" i="9"/>
  <c r="D46" i="9"/>
  <c r="C86" i="9"/>
  <c r="D61" i="9"/>
  <c r="D87" i="9"/>
  <c r="D86" i="9"/>
  <c r="P341" i="1"/>
  <c r="P310" i="1"/>
  <c r="P309" i="1"/>
  <c r="P298" i="1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P342" i="1"/>
  <c r="P297" i="1"/>
  <c r="P296" i="1"/>
  <c r="P295" i="1"/>
  <c r="P294" i="1"/>
  <c r="C37" i="9"/>
  <c r="C61" i="9" s="1"/>
  <c r="C87" i="9" s="1"/>
  <c r="E44" i="9"/>
  <c r="E45" i="9"/>
  <c r="E46" i="9"/>
  <c r="E78" i="9"/>
  <c r="E79" i="9"/>
  <c r="E80" i="9"/>
  <c r="E81" i="9"/>
  <c r="E82" i="9"/>
  <c r="E83" i="9"/>
  <c r="E84" i="9"/>
  <c r="E85" i="9"/>
  <c r="E43" i="9"/>
  <c r="E39" i="9"/>
  <c r="E40" i="9"/>
  <c r="E41" i="9"/>
  <c r="E42" i="9"/>
  <c r="P291" i="1"/>
  <c r="P290" i="1"/>
  <c r="P289" i="1"/>
  <c r="P288" i="1"/>
  <c r="P287" i="1"/>
  <c r="P286" i="1"/>
  <c r="P285" i="1"/>
  <c r="P284" i="1"/>
  <c r="P283" i="1"/>
  <c r="P274" i="1"/>
  <c r="P273" i="1"/>
  <c r="P272" i="1"/>
  <c r="P277" i="1"/>
  <c r="P276" i="1"/>
  <c r="P275" i="1"/>
  <c r="G33" i="4"/>
  <c r="E29" i="4"/>
  <c r="G29" i="4" s="1"/>
  <c r="E28" i="4"/>
  <c r="G28" i="4" s="1"/>
  <c r="E27" i="4"/>
  <c r="G27" i="4" s="1"/>
  <c r="E30" i="4"/>
  <c r="G30" i="4" s="1"/>
  <c r="E31" i="4"/>
  <c r="G31" i="4" s="1"/>
  <c r="E32" i="4"/>
  <c r="G32" i="4" s="1"/>
  <c r="E26" i="4"/>
  <c r="G26" i="4" s="1"/>
  <c r="H25" i="4"/>
  <c r="P257" i="1"/>
  <c r="P292" i="1"/>
  <c r="P282" i="1"/>
  <c r="P281" i="1"/>
  <c r="P280" i="1"/>
  <c r="P279" i="1"/>
  <c r="P278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2" i="1"/>
  <c r="P251" i="1"/>
  <c r="P250" i="1"/>
  <c r="P249" i="1"/>
  <c r="P343" i="1"/>
  <c r="P293" i="1"/>
  <c r="P256" i="1"/>
  <c r="P255" i="1"/>
  <c r="P254" i="1"/>
  <c r="P253" i="1"/>
  <c r="O234" i="1"/>
  <c r="O225" i="1"/>
  <c r="O220" i="1"/>
  <c r="O216" i="1"/>
  <c r="O206" i="1"/>
  <c r="O205" i="1"/>
  <c r="O203" i="1"/>
  <c r="Q191" i="1"/>
  <c r="Q192" i="1"/>
  <c r="Q193" i="1"/>
  <c r="Q194" i="1"/>
  <c r="Q195" i="1"/>
  <c r="Q196" i="1"/>
  <c r="Q197" i="1"/>
  <c r="Q198" i="1"/>
  <c r="Q199" i="1"/>
  <c r="Q200" i="1"/>
  <c r="Q201" i="1"/>
  <c r="H33" i="4"/>
  <c r="H32" i="4"/>
  <c r="P228" i="1"/>
  <c r="P227" i="1"/>
  <c r="H24" i="4"/>
  <c r="E24" i="4"/>
  <c r="G24" i="4" s="1"/>
  <c r="H23" i="4"/>
  <c r="E23" i="4"/>
  <c r="G23" i="4" s="1"/>
  <c r="H22" i="4"/>
  <c r="E22" i="4"/>
  <c r="G22" i="4" s="1"/>
  <c r="H19" i="4"/>
  <c r="E19" i="4"/>
  <c r="G19" i="4" s="1"/>
  <c r="P193" i="1"/>
  <c r="P194" i="1"/>
  <c r="P195" i="1"/>
  <c r="P196" i="1"/>
  <c r="P197" i="1"/>
  <c r="P198" i="1"/>
  <c r="P192" i="1"/>
  <c r="P199" i="1"/>
  <c r="P200" i="1"/>
  <c r="P191" i="1"/>
  <c r="P201" i="1"/>
  <c r="P183" i="1"/>
  <c r="I11" i="7"/>
  <c r="G11" i="7"/>
  <c r="G12" i="7"/>
  <c r="G13" i="7"/>
  <c r="F13" i="7"/>
  <c r="Q150" i="1"/>
  <c r="P150" i="1"/>
  <c r="Q148" i="1"/>
  <c r="Q147" i="1"/>
  <c r="E9" i="4"/>
  <c r="G9" i="4"/>
  <c r="H9" i="4"/>
  <c r="E10" i="4"/>
  <c r="G10" i="4"/>
  <c r="H10" i="4"/>
  <c r="P148" i="1"/>
  <c r="G9" i="7"/>
  <c r="H9" i="7"/>
  <c r="F9" i="7"/>
  <c r="F8" i="7"/>
  <c r="H8" i="7"/>
  <c r="G8" i="7"/>
  <c r="I7" i="7"/>
  <c r="G7" i="7"/>
  <c r="F7" i="7"/>
  <c r="F6" i="7"/>
  <c r="I6" i="7"/>
  <c r="G6" i="7"/>
  <c r="G5" i="7"/>
  <c r="F5" i="7"/>
  <c r="O143" i="1"/>
  <c r="F4" i="7"/>
  <c r="I4" i="7"/>
  <c r="G4" i="7"/>
  <c r="J9" i="2"/>
  <c r="J10" i="2"/>
  <c r="J11" i="2"/>
  <c r="J12" i="2"/>
  <c r="J13" i="2"/>
  <c r="J14" i="2"/>
  <c r="J8" i="2"/>
  <c r="K3" i="7"/>
  <c r="G3" i="7"/>
  <c r="K8" i="2"/>
  <c r="K9" i="2"/>
  <c r="K10" i="2"/>
  <c r="K11" i="2"/>
  <c r="K12" i="2"/>
  <c r="K13" i="2"/>
  <c r="K14" i="2"/>
  <c r="Q119" i="1"/>
  <c r="P119" i="1"/>
  <c r="K26" i="2"/>
  <c r="K27" i="2"/>
  <c r="K28" i="2"/>
  <c r="K29" i="2"/>
  <c r="K30" i="2"/>
  <c r="K31" i="2"/>
  <c r="H6" i="4"/>
  <c r="E38" i="9"/>
  <c r="D31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5" i="9"/>
  <c r="O4" i="9"/>
  <c r="O8" i="9"/>
  <c r="O9" i="9"/>
  <c r="O6" i="9"/>
  <c r="O7" i="9"/>
  <c r="Q73" i="1"/>
  <c r="P73" i="1"/>
  <c r="Q57" i="1"/>
  <c r="Q60" i="1"/>
  <c r="P60" i="1"/>
  <c r="P57" i="1"/>
  <c r="Q45" i="1"/>
  <c r="P45" i="1"/>
  <c r="P2" i="1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" i="7"/>
  <c r="N2" i="7" s="1"/>
  <c r="E2" i="4"/>
  <c r="G2" i="4" s="1"/>
  <c r="E3" i="4"/>
  <c r="G3" i="4" s="1"/>
  <c r="E4" i="4"/>
  <c r="G4" i="4" s="1"/>
  <c r="E5" i="4"/>
  <c r="G5" i="4" s="1"/>
  <c r="E6" i="4"/>
  <c r="G6" i="4" s="1"/>
  <c r="E7" i="4"/>
  <c r="G7" i="4" s="1"/>
  <c r="E8" i="4"/>
  <c r="G8" i="4" s="1"/>
  <c r="E11" i="4"/>
  <c r="G11" i="4" s="1"/>
  <c r="E12" i="4"/>
  <c r="G12" i="4" s="1"/>
  <c r="E13" i="4"/>
  <c r="G13" i="4" s="1"/>
  <c r="E14" i="4"/>
  <c r="G14" i="4" s="1"/>
  <c r="E15" i="4"/>
  <c r="G15" i="4" s="1"/>
  <c r="E16" i="4"/>
  <c r="G16" i="4" s="1"/>
  <c r="E17" i="4"/>
  <c r="G17" i="4" s="1"/>
  <c r="E18" i="4"/>
  <c r="G18" i="4" s="1"/>
  <c r="E20" i="4"/>
  <c r="G20" i="4" s="1"/>
  <c r="E21" i="4"/>
  <c r="G21" i="4" s="1"/>
  <c r="P185" i="1"/>
  <c r="Q185" i="1"/>
  <c r="P118" i="1"/>
  <c r="Q118" i="1"/>
  <c r="P92" i="1"/>
  <c r="Q92" i="1"/>
  <c r="P71" i="1"/>
  <c r="Q71" i="1"/>
  <c r="P59" i="1"/>
  <c r="Q59" i="1"/>
  <c r="P46" i="1"/>
  <c r="Q46" i="1"/>
  <c r="P27" i="1"/>
  <c r="Q27" i="1"/>
  <c r="P16" i="1"/>
  <c r="Q16" i="1"/>
  <c r="P216" i="1"/>
  <c r="Q216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344" i="1"/>
  <c r="Q232" i="1"/>
  <c r="Q233" i="1"/>
  <c r="Q234" i="1"/>
  <c r="Q235" i="1"/>
  <c r="P344" i="1"/>
  <c r="P248" i="1"/>
  <c r="P247" i="1"/>
  <c r="P246" i="1"/>
  <c r="P245" i="1"/>
  <c r="P244" i="1"/>
  <c r="P242" i="1"/>
  <c r="P241" i="1"/>
  <c r="P240" i="1"/>
  <c r="P239" i="1"/>
  <c r="P238" i="1"/>
  <c r="P237" i="1"/>
  <c r="P236" i="1"/>
  <c r="P235" i="1"/>
  <c r="P234" i="1"/>
  <c r="P233" i="1"/>
  <c r="P243" i="1"/>
  <c r="P232" i="1"/>
  <c r="Q11" i="7"/>
  <c r="P11" i="7"/>
  <c r="Q2" i="7"/>
  <c r="Q3" i="7"/>
  <c r="N3" i="7"/>
  <c r="P3" i="7" s="1"/>
  <c r="P2" i="7"/>
  <c r="Q12" i="7"/>
  <c r="Q13" i="7"/>
  <c r="Q4" i="7"/>
  <c r="Q5" i="7"/>
  <c r="Q6" i="7"/>
  <c r="Q7" i="7"/>
  <c r="Q8" i="7"/>
  <c r="Q9" i="7"/>
  <c r="Q10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H2" i="4"/>
  <c r="H17" i="4"/>
  <c r="H18" i="4"/>
  <c r="N13" i="7"/>
  <c r="N4" i="7"/>
  <c r="N5" i="7"/>
  <c r="N6" i="7"/>
  <c r="N7" i="7"/>
  <c r="N8" i="7"/>
  <c r="N9" i="7"/>
  <c r="N10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N12" i="7"/>
  <c r="Q182" i="1"/>
  <c r="P182" i="1"/>
  <c r="Q170" i="1"/>
  <c r="Q171" i="1"/>
  <c r="P171" i="1"/>
  <c r="P170" i="1"/>
  <c r="Q169" i="1"/>
  <c r="P169" i="1"/>
  <c r="Q217" i="1"/>
  <c r="Q218" i="1"/>
  <c r="Q219" i="1"/>
  <c r="Q220" i="1"/>
  <c r="Q221" i="1"/>
  <c r="Q222" i="1"/>
  <c r="Q223" i="1"/>
  <c r="Q224" i="1"/>
  <c r="Q225" i="1"/>
  <c r="Q226" i="1"/>
  <c r="Q229" i="1"/>
  <c r="Q186" i="1"/>
  <c r="P204" i="1"/>
  <c r="P229" i="1"/>
  <c r="P226" i="1"/>
  <c r="P225" i="1"/>
  <c r="P224" i="1"/>
  <c r="P223" i="1"/>
  <c r="P222" i="1"/>
  <c r="P221" i="1"/>
  <c r="P220" i="1"/>
  <c r="P219" i="1"/>
  <c r="P218" i="1"/>
  <c r="P217" i="1"/>
  <c r="P186" i="1"/>
  <c r="Q187" i="1"/>
  <c r="Q188" i="1"/>
  <c r="Q189" i="1"/>
  <c r="Q190" i="1"/>
  <c r="Q202" i="1"/>
  <c r="Q203" i="1"/>
  <c r="Q204" i="1"/>
  <c r="Q205" i="1"/>
  <c r="Q206" i="1"/>
  <c r="Q207" i="1"/>
  <c r="Q208" i="1"/>
  <c r="Q209" i="1"/>
  <c r="P187" i="1"/>
  <c r="P188" i="1"/>
  <c r="P189" i="1"/>
  <c r="P190" i="1"/>
  <c r="P202" i="1"/>
  <c r="P203" i="1"/>
  <c r="P205" i="1"/>
  <c r="P206" i="1"/>
  <c r="P207" i="1"/>
  <c r="P208" i="1"/>
  <c r="P209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72" i="1"/>
  <c r="Q173" i="1"/>
  <c r="Q174" i="1"/>
  <c r="Q175" i="1"/>
  <c r="Q176" i="1"/>
  <c r="Q177" i="1"/>
  <c r="Q178" i="1"/>
  <c r="Q179" i="1"/>
  <c r="Q180" i="1"/>
  <c r="Q181" i="1"/>
  <c r="Q183" i="1"/>
  <c r="Q184" i="1"/>
  <c r="Q210" i="1"/>
  <c r="Q211" i="1"/>
  <c r="Q212" i="1"/>
  <c r="Q213" i="1"/>
  <c r="Q214" i="1"/>
  <c r="Q215" i="1"/>
  <c r="Q230" i="1"/>
  <c r="P179" i="1"/>
  <c r="P180" i="1"/>
  <c r="P181" i="1"/>
  <c r="P184" i="1"/>
  <c r="P210" i="1"/>
  <c r="P211" i="1"/>
  <c r="P212" i="1"/>
  <c r="P213" i="1"/>
  <c r="P214" i="1"/>
  <c r="P215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72" i="1"/>
  <c r="P173" i="1"/>
  <c r="P174" i="1"/>
  <c r="P175" i="1"/>
  <c r="P176" i="1"/>
  <c r="P177" i="1"/>
  <c r="P178" i="1"/>
  <c r="Q137" i="1"/>
  <c r="Q138" i="1"/>
  <c r="Q139" i="1"/>
  <c r="Q140" i="1"/>
  <c r="Q141" i="1"/>
  <c r="Q142" i="1"/>
  <c r="Q143" i="1"/>
  <c r="Q144" i="1"/>
  <c r="Q145" i="1"/>
  <c r="Q146" i="1"/>
  <c r="Q149" i="1"/>
  <c r="Q151" i="1"/>
  <c r="P137" i="1"/>
  <c r="P138" i="1"/>
  <c r="P139" i="1"/>
  <c r="P140" i="1"/>
  <c r="P141" i="1"/>
  <c r="P142" i="1"/>
  <c r="P143" i="1"/>
  <c r="P144" i="1"/>
  <c r="P145" i="1"/>
  <c r="P146" i="1"/>
  <c r="P147" i="1"/>
  <c r="P149" i="1"/>
  <c r="P151" i="1"/>
  <c r="Q136" i="1"/>
  <c r="Q152" i="1"/>
  <c r="P136" i="1"/>
  <c r="P152" i="1"/>
  <c r="Q123" i="1"/>
  <c r="Q124" i="1"/>
  <c r="Q125" i="1"/>
  <c r="Q126" i="1"/>
  <c r="Q127" i="1"/>
  <c r="Q128" i="1"/>
  <c r="P123" i="1"/>
  <c r="P124" i="1"/>
  <c r="P125" i="1"/>
  <c r="P126" i="1"/>
  <c r="P127" i="1"/>
  <c r="P128" i="1"/>
  <c r="Q120" i="1"/>
  <c r="Q121" i="1"/>
  <c r="Q122" i="1"/>
  <c r="Q129" i="1"/>
  <c r="Q130" i="1"/>
  <c r="Q131" i="1"/>
  <c r="Q132" i="1"/>
  <c r="Q133" i="1"/>
  <c r="Q13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P120" i="1"/>
  <c r="P121" i="1"/>
  <c r="P122" i="1"/>
  <c r="P129" i="1"/>
  <c r="P130" i="1"/>
  <c r="P131" i="1"/>
  <c r="P132" i="1"/>
  <c r="P133" i="1"/>
  <c r="P134" i="1"/>
  <c r="P106" i="1"/>
  <c r="P107" i="1"/>
  <c r="P108" i="1"/>
  <c r="P109" i="1"/>
  <c r="P110" i="1"/>
  <c r="P111" i="1"/>
  <c r="P112" i="1"/>
  <c r="P113" i="1"/>
  <c r="P114" i="1"/>
  <c r="P115" i="1"/>
  <c r="P105" i="1"/>
  <c r="P116" i="1"/>
  <c r="Q94" i="1"/>
  <c r="Q95" i="1"/>
  <c r="Q96" i="1"/>
  <c r="Q97" i="1"/>
  <c r="Q98" i="1"/>
  <c r="Q99" i="1"/>
  <c r="Q100" i="1"/>
  <c r="Q101" i="1"/>
  <c r="Q102" i="1"/>
  <c r="Q103" i="1"/>
  <c r="P94" i="1"/>
  <c r="P95" i="1"/>
  <c r="P96" i="1"/>
  <c r="P97" i="1"/>
  <c r="P98" i="1"/>
  <c r="P99" i="1"/>
  <c r="P100" i="1"/>
  <c r="P101" i="1"/>
  <c r="P102" i="1"/>
  <c r="P103" i="1"/>
  <c r="Q79" i="1"/>
  <c r="Q80" i="1"/>
  <c r="Q81" i="1"/>
  <c r="Q82" i="1"/>
  <c r="Q83" i="1"/>
  <c r="Q84" i="1"/>
  <c r="Q85" i="1"/>
  <c r="Q86" i="1"/>
  <c r="Q87" i="1"/>
  <c r="Q88" i="1"/>
  <c r="Q89" i="1"/>
  <c r="Q90" i="1"/>
  <c r="P79" i="1"/>
  <c r="P80" i="1"/>
  <c r="P81" i="1"/>
  <c r="P82" i="1"/>
  <c r="P83" i="1"/>
  <c r="P84" i="1"/>
  <c r="P85" i="1"/>
  <c r="P86" i="1"/>
  <c r="P87" i="1"/>
  <c r="P88" i="1"/>
  <c r="P89" i="1"/>
  <c r="P90" i="1"/>
  <c r="Q72" i="1"/>
  <c r="Q74" i="1"/>
  <c r="Q75" i="1"/>
  <c r="Q76" i="1"/>
  <c r="Q77" i="1"/>
  <c r="Q78" i="1"/>
  <c r="Q67" i="1"/>
  <c r="Q68" i="1"/>
  <c r="Q69" i="1"/>
  <c r="Q70" i="1"/>
  <c r="P67" i="1"/>
  <c r="P68" i="1"/>
  <c r="P69" i="1"/>
  <c r="P70" i="1"/>
  <c r="P72" i="1"/>
  <c r="P74" i="1"/>
  <c r="P75" i="1"/>
  <c r="P76" i="1"/>
  <c r="P77" i="1"/>
  <c r="P78" i="1"/>
  <c r="Q48" i="1"/>
  <c r="Q49" i="1"/>
  <c r="P48" i="1"/>
  <c r="P49" i="1"/>
  <c r="H4" i="4"/>
  <c r="H5" i="4"/>
  <c r="H7" i="4"/>
  <c r="H8" i="4"/>
  <c r="H11" i="4"/>
  <c r="H12" i="4"/>
  <c r="H13" i="4"/>
  <c r="H14" i="4"/>
  <c r="H15" i="4"/>
  <c r="H16" i="4"/>
  <c r="H20" i="4"/>
  <c r="H21" i="4"/>
  <c r="H34" i="4"/>
  <c r="H35" i="4"/>
  <c r="H3" i="4"/>
  <c r="Q3" i="1"/>
  <c r="Q41" i="1"/>
  <c r="Q40" i="1"/>
  <c r="Q42" i="1"/>
  <c r="Q44" i="1"/>
  <c r="Q47" i="1"/>
  <c r="Q50" i="1"/>
  <c r="Q51" i="1"/>
  <c r="Q52" i="1"/>
  <c r="Q53" i="1"/>
  <c r="Q56" i="1"/>
  <c r="Q54" i="1"/>
  <c r="Q55" i="1"/>
  <c r="Q58" i="1"/>
  <c r="Q61" i="1"/>
  <c r="Q62" i="1"/>
  <c r="Q63" i="1"/>
  <c r="Q64" i="1"/>
  <c r="Q65" i="1"/>
  <c r="Q66" i="1"/>
  <c r="P41" i="1"/>
  <c r="P40" i="1"/>
  <c r="P42" i="1"/>
  <c r="P44" i="1"/>
  <c r="P47" i="1"/>
  <c r="P50" i="1"/>
  <c r="P51" i="1"/>
  <c r="P52" i="1"/>
  <c r="P53" i="1"/>
  <c r="P56" i="1"/>
  <c r="P54" i="1"/>
  <c r="P55" i="1"/>
  <c r="P58" i="1"/>
  <c r="P61" i="1"/>
  <c r="P62" i="1"/>
  <c r="P63" i="1"/>
  <c r="P64" i="1"/>
  <c r="P65" i="1"/>
  <c r="P66" i="1"/>
  <c r="P20" i="1"/>
  <c r="Q20" i="1"/>
  <c r="P43" i="1"/>
  <c r="Q43" i="1"/>
  <c r="P91" i="1"/>
  <c r="Q91" i="1"/>
  <c r="P93" i="1"/>
  <c r="Q93" i="1"/>
  <c r="P104" i="1"/>
  <c r="Q104" i="1"/>
  <c r="P117" i="1"/>
  <c r="Q117" i="1"/>
  <c r="P135" i="1"/>
  <c r="Q135" i="1"/>
  <c r="P230" i="1"/>
  <c r="P231" i="1"/>
  <c r="Q231" i="1"/>
  <c r="P345" i="1"/>
  <c r="Q345" i="1"/>
  <c r="E25" i="4"/>
  <c r="G25" i="4" s="1"/>
  <c r="E34" i="4"/>
  <c r="G34" i="4" s="1"/>
  <c r="E35" i="4"/>
  <c r="G35" i="4" s="1"/>
  <c r="Q35" i="1"/>
  <c r="Q36" i="1"/>
  <c r="Q37" i="1"/>
  <c r="Q13" i="1"/>
  <c r="Q12" i="1"/>
  <c r="P13" i="1"/>
  <c r="Q17" i="1"/>
  <c r="Q18" i="1"/>
  <c r="Q19" i="1"/>
  <c r="Q21" i="1"/>
  <c r="Q22" i="1"/>
  <c r="Q23" i="1"/>
  <c r="Q24" i="1"/>
  <c r="Q25" i="1"/>
  <c r="Q26" i="1"/>
  <c r="Q28" i="1"/>
  <c r="Q29" i="1"/>
  <c r="Q30" i="1"/>
  <c r="Q31" i="1"/>
  <c r="Q32" i="1"/>
  <c r="Q33" i="1"/>
  <c r="Q39" i="1"/>
  <c r="Q34" i="1"/>
  <c r="Q38" i="1"/>
  <c r="Q2" i="1"/>
  <c r="Q4" i="1"/>
  <c r="Q5" i="1"/>
  <c r="Q6" i="1"/>
  <c r="Q7" i="1"/>
  <c r="Q9" i="1"/>
  <c r="Q11" i="1"/>
  <c r="Q15" i="1"/>
  <c r="Q8" i="1"/>
  <c r="Q10" i="1"/>
  <c r="Q14" i="1"/>
  <c r="P9" i="1"/>
  <c r="P11" i="1"/>
  <c r="P15" i="1"/>
  <c r="P14" i="1"/>
  <c r="P24" i="1"/>
  <c r="P21" i="1"/>
  <c r="P25" i="1"/>
  <c r="P26" i="1"/>
  <c r="P3" i="1"/>
  <c r="P4" i="1"/>
  <c r="P5" i="1"/>
  <c r="P6" i="1"/>
  <c r="P8" i="1"/>
  <c r="P10" i="1"/>
  <c r="P12" i="1"/>
  <c r="P17" i="1"/>
  <c r="P18" i="1"/>
  <c r="O346" i="1"/>
  <c r="M346" i="1"/>
  <c r="L346" i="1"/>
  <c r="J4" i="2"/>
  <c r="K21" i="2" s="1"/>
  <c r="J5" i="2"/>
  <c r="K22" i="2" s="1"/>
  <c r="J6" i="2"/>
  <c r="K23" i="2" s="1"/>
  <c r="J7" i="2"/>
  <c r="K24" i="2" s="1"/>
  <c r="J3" i="2"/>
  <c r="K20" i="2" s="1"/>
  <c r="P28" i="1"/>
  <c r="P29" i="1"/>
  <c r="P31" i="1"/>
  <c r="P30" i="1"/>
  <c r="P32" i="1"/>
  <c r="P39" i="1"/>
  <c r="P34" i="1"/>
  <c r="P33" i="1"/>
  <c r="P38" i="1"/>
  <c r="P35" i="1"/>
  <c r="P36" i="1"/>
  <c r="P37" i="1"/>
  <c r="P22" i="1"/>
  <c r="P19" i="1"/>
  <c r="P23" i="1"/>
  <c r="P7" i="1"/>
  <c r="P346" i="1"/>
  <c r="C14" i="2"/>
  <c r="C13" i="2"/>
  <c r="C12" i="2"/>
  <c r="C11" i="2"/>
  <c r="C10" i="2"/>
  <c r="C9" i="2"/>
  <c r="C8" i="2"/>
  <c r="C6" i="2"/>
  <c r="C7" i="2"/>
  <c r="C5" i="2"/>
  <c r="C4" i="2"/>
  <c r="J15" i="2"/>
  <c r="E86" i="9" l="1"/>
  <c r="E37" i="9"/>
  <c r="E61" i="9" s="1"/>
  <c r="E87" i="9" s="1"/>
  <c r="O31" i="9"/>
  <c r="E88" i="9" s="1"/>
  <c r="E89" i="9" s="1"/>
  <c r="K25" i="2"/>
  <c r="K32" i="2" s="1"/>
  <c r="K15" i="2"/>
  <c r="E36" i="4"/>
  <c r="G36" i="4" s="1"/>
  <c r="C3" i="2"/>
  <c r="N28" i="7"/>
  <c r="P28" i="7"/>
</calcChain>
</file>

<file path=xl/sharedStrings.xml><?xml version="1.0" encoding="utf-8"?>
<sst xmlns="http://schemas.openxmlformats.org/spreadsheetml/2006/main" count="2196" uniqueCount="873">
  <si>
    <t>Customer Name</t>
  </si>
  <si>
    <t>PNR</t>
  </si>
  <si>
    <t>Airline</t>
  </si>
  <si>
    <t>Departure Date</t>
  </si>
  <si>
    <t>Return Date</t>
  </si>
  <si>
    <t>Booking Deadline</t>
  </si>
  <si>
    <t>D. Time</t>
  </si>
  <si>
    <t>Paid? (X)</t>
  </si>
  <si>
    <t>Issued date</t>
  </si>
  <si>
    <t>Type</t>
  </si>
  <si>
    <t>Fare Cost</t>
  </si>
  <si>
    <t>Sale Cost</t>
  </si>
  <si>
    <t>Contact Number (W or T)</t>
  </si>
  <si>
    <t>Total Pax</t>
  </si>
  <si>
    <t>profit</t>
  </si>
  <si>
    <t>Month</t>
  </si>
  <si>
    <t>AGENT</t>
  </si>
  <si>
    <t>Column1</t>
  </si>
  <si>
    <t>IQBAL/JAVED MR</t>
  </si>
  <si>
    <t>JADHUY</t>
  </si>
  <si>
    <t>BA</t>
  </si>
  <si>
    <t>X</t>
  </si>
  <si>
    <t>TK</t>
  </si>
  <si>
    <t>+44 7466 264988</t>
  </si>
  <si>
    <t>HUSSAIN/SYED TABIB MR</t>
  </si>
  <si>
    <t>FLODBF</t>
  </si>
  <si>
    <t>QR</t>
  </si>
  <si>
    <t>Go to Bottom</t>
  </si>
  <si>
    <t>HUSSAIN/MUZHAIR MR</t>
  </si>
  <si>
    <t>FXGXFZ</t>
  </si>
  <si>
    <t>EY</t>
  </si>
  <si>
    <t>HAFIZ/FOZIA MRS</t>
  </si>
  <si>
    <t>LTCFAZ</t>
  </si>
  <si>
    <t>SV</t>
  </si>
  <si>
    <t>+44 7402 049837</t>
  </si>
  <si>
    <t>KAUR/NIRMAL MRS</t>
  </si>
  <si>
    <t>JBWKBY</t>
  </si>
  <si>
    <t>VS</t>
  </si>
  <si>
    <t>+44 7424 134491</t>
  </si>
  <si>
    <t>IQBAL/MUHAMMAD BILAL MR</t>
  </si>
  <si>
    <t>QUDZEU</t>
  </si>
  <si>
    <t>KHALID/MUHAMMAD MR</t>
  </si>
  <si>
    <t>OMXGWM</t>
  </si>
  <si>
    <t>+44 7525 344280</t>
  </si>
  <si>
    <t>BUKHARI/SYEDA MAHRUKH FATIMA MRS</t>
  </si>
  <si>
    <t>FFGTWW</t>
  </si>
  <si>
    <t>KU</t>
  </si>
  <si>
    <t>DC</t>
  </si>
  <si>
    <t>MEHMOOD/WAJID MR</t>
  </si>
  <si>
    <t>CUANOK</t>
  </si>
  <si>
    <t>+44 7828 154128</t>
  </si>
  <si>
    <t>SHAHZAD/KHURAM MR</t>
  </si>
  <si>
    <t>NHJOIH</t>
  </si>
  <si>
    <t>+44 7983 589716</t>
  </si>
  <si>
    <t>ZAINAB/MALEEKA MS</t>
  </si>
  <si>
    <t>AUNTIN</t>
  </si>
  <si>
    <t>KARIM DARR/MOHAMMAD MR*YTH</t>
  </si>
  <si>
    <t>GGLRFD</t>
  </si>
  <si>
    <t>SULEMAN/GUL NAWAZ MR</t>
  </si>
  <si>
    <t>JMWMPK</t>
  </si>
  <si>
    <t>+44 7308 514729</t>
  </si>
  <si>
    <t>SHABIR/MUHAMMAD MR</t>
  </si>
  <si>
    <t>UUQHWB</t>
  </si>
  <si>
    <t>EK</t>
  </si>
  <si>
    <t>+44 7400 631116</t>
  </si>
  <si>
    <t>KAUSAR/MARIA MRS</t>
  </si>
  <si>
    <t>CYMOBM</t>
  </si>
  <si>
    <t>+44 7432 703490</t>
  </si>
  <si>
    <t>SHAH/SYED WASEEM HAIDER MR</t>
  </si>
  <si>
    <t>ABAPIE</t>
  </si>
  <si>
    <t>BEGUM/KHATIJA MRS</t>
  </si>
  <si>
    <t>HKUNKP</t>
  </si>
  <si>
    <t>+44 7486 318633</t>
  </si>
  <si>
    <t>Waheed/Abdul Mr</t>
  </si>
  <si>
    <t>GHEVCT</t>
  </si>
  <si>
    <t>+44 7404 664682</t>
  </si>
  <si>
    <t>HUSSAIN/HAMZA MR</t>
  </si>
  <si>
    <t>USGXTM</t>
  </si>
  <si>
    <t>ABBAS/HAIDER MR</t>
  </si>
  <si>
    <t>JQGRTA</t>
  </si>
  <si>
    <t>HUSSAIN/KHADIM MR</t>
  </si>
  <si>
    <t>ONGVBY</t>
  </si>
  <si>
    <t>+44 7725 084824</t>
  </si>
  <si>
    <t>ADREES/HAFIZ MUHAMMAD MR</t>
  </si>
  <si>
    <t>EOHNKX</t>
  </si>
  <si>
    <t>EK/FZ</t>
  </si>
  <si>
    <t>+44 7951 770730</t>
  </si>
  <si>
    <t>HUSSAIN/KHALID MR</t>
  </si>
  <si>
    <t>HLAYZW</t>
  </si>
  <si>
    <t>GF</t>
  </si>
  <si>
    <t>+44 7754 356742</t>
  </si>
  <si>
    <t>ALI/HUSAIN MR</t>
  </si>
  <si>
    <t>NHRGDA</t>
  </si>
  <si>
    <t>+44 7304 072807</t>
  </si>
  <si>
    <t>BI/SAIMA MRS</t>
  </si>
  <si>
    <t>IQEGJG</t>
  </si>
  <si>
    <t>+44 7904 251399</t>
  </si>
  <si>
    <t>RAJA/MOHAMMAD NAEEM MR</t>
  </si>
  <si>
    <t>GILLNC</t>
  </si>
  <si>
    <t>+44 7454 868818</t>
  </si>
  <si>
    <t>BI/ASHIA MRS</t>
  </si>
  <si>
    <t>OCBBZL</t>
  </si>
  <si>
    <t>+44 7400 050602</t>
  </si>
  <si>
    <t>RIAZ/AZMAT MR</t>
  </si>
  <si>
    <t>WNKDNO</t>
  </si>
  <si>
    <t>+44 7979 612000</t>
  </si>
  <si>
    <t>NAYER/SYED KAMRAN MR</t>
  </si>
  <si>
    <t>AVCZBY</t>
  </si>
  <si>
    <t>+44 7387 294198</t>
  </si>
  <si>
    <t>KHAN/ISHTIAQ AHMED MR</t>
  </si>
  <si>
    <t>JUPIQC</t>
  </si>
  <si>
    <t>+44 7828 860470</t>
  </si>
  <si>
    <t>KHAN/NOOR MR</t>
  </si>
  <si>
    <t>KHEMHB</t>
  </si>
  <si>
    <t>RAMZAN/IFRA MRS</t>
  </si>
  <si>
    <t>JRYFXX</t>
  </si>
  <si>
    <t>+44 7393 748601</t>
  </si>
  <si>
    <t>PARVEZ/MUHAMMAD MR</t>
  </si>
  <si>
    <t>SSNWDS</t>
  </si>
  <si>
    <t>Installements</t>
  </si>
  <si>
    <t>+44 7922 710949</t>
  </si>
  <si>
    <t>MEHARBAN/MOHAMMED MR</t>
  </si>
  <si>
    <t>JZAQMY</t>
  </si>
  <si>
    <t>+44 7459 380433</t>
  </si>
  <si>
    <t>MOHAMANDI/OBAIDULLAH MR</t>
  </si>
  <si>
    <t>WGXLQE</t>
  </si>
  <si>
    <t>PK/SV</t>
  </si>
  <si>
    <t>+44 7400 741723</t>
  </si>
  <si>
    <t>UXQKCU</t>
  </si>
  <si>
    <t>AHMED/AYESHA KHAN MRS</t>
  </si>
  <si>
    <t>SQQNDB</t>
  </si>
  <si>
    <t>+44 7570 549352</t>
  </si>
  <si>
    <t>AHMED/IFTIKHAR MR</t>
  </si>
  <si>
    <t>QBZTWF</t>
  </si>
  <si>
    <t>HUSSAIN/SAJID MR</t>
  </si>
  <si>
    <t>LPLBFW</t>
  </si>
  <si>
    <t>SHAH/MOHAMMAD ALI MR</t>
  </si>
  <si>
    <t>EAYMQC</t>
  </si>
  <si>
    <t>+44 7360 185018</t>
  </si>
  <si>
    <t>SAID/SAIMA MRS</t>
  </si>
  <si>
    <t>WIIGUJ</t>
  </si>
  <si>
    <t>+44 7842 728239</t>
  </si>
  <si>
    <t>ASLAM/MOHAMMAD MR</t>
  </si>
  <si>
    <t>YEPZIG</t>
  </si>
  <si>
    <t>07405016761</t>
  </si>
  <si>
    <t>SAGHIR/MOHAMMED KAESIM MR</t>
  </si>
  <si>
    <t>QHCEBV</t>
  </si>
  <si>
    <t>+44 7312 358653</t>
  </si>
  <si>
    <t>HUSSAIN/ASJAD MR</t>
  </si>
  <si>
    <t>JJXGPF</t>
  </si>
  <si>
    <t>+44 7477 898098</t>
  </si>
  <si>
    <t>RASHID/MOHAMMED MR</t>
  </si>
  <si>
    <t>UJYGFL</t>
  </si>
  <si>
    <t>+44 7878 972349</t>
  </si>
  <si>
    <t>MEHMOOD/MAZHAR MR</t>
  </si>
  <si>
    <t>AEHMOB</t>
  </si>
  <si>
    <t>KHAZI/AHMAD ALSHA MARI MR</t>
  </si>
  <si>
    <t>LOXJPL</t>
  </si>
  <si>
    <t>MH</t>
  </si>
  <si>
    <t>SAGHIR/SAHIRA PARVEEN MRS</t>
  </si>
  <si>
    <t>CBIKEL</t>
  </si>
  <si>
    <t>ORJTQI</t>
  </si>
  <si>
    <t>BIBI/AZRA MRS</t>
  </si>
  <si>
    <t>OTUKFA</t>
  </si>
  <si>
    <t>HUSSAIN RASOOLAN/ MUZAFFAR MR</t>
  </si>
  <si>
    <t>AZPOPH</t>
  </si>
  <si>
    <t>+44 7424 501641</t>
  </si>
  <si>
    <t>HUSSAIN/MULAZAM MR</t>
  </si>
  <si>
    <t>FLXBEY</t>
  </si>
  <si>
    <t>HAIDER/SYED ZEESHAN MR</t>
  </si>
  <si>
    <t>AYUVFW</t>
  </si>
  <si>
    <t>+44 7454 755542</t>
  </si>
  <si>
    <t>HAIDER/IBTISAM MR</t>
  </si>
  <si>
    <t>UNXTXK</t>
  </si>
  <si>
    <t>CA</t>
  </si>
  <si>
    <t>44 7544 961777</t>
  </si>
  <si>
    <t>NABI/GHULAM MR</t>
  </si>
  <si>
    <t>GOSOSZ</t>
  </si>
  <si>
    <t>MUHAMMAD/JAHANGIR MR</t>
  </si>
  <si>
    <t>IPFPLO</t>
  </si>
  <si>
    <t>+44 7477 339334</t>
  </si>
  <si>
    <t>AKHTAR/SHAMIM MRS</t>
  </si>
  <si>
    <t>QMJRPN</t>
  </si>
  <si>
    <t>+44 7927 575150</t>
  </si>
  <si>
    <t>RASUL/NUSRAT BEGUM MRS</t>
  </si>
  <si>
    <t>QJQVDA</t>
  </si>
  <si>
    <t>HUSSAIN/JHANGEER MR</t>
  </si>
  <si>
    <t>YERVFM</t>
  </si>
  <si>
    <t>SHAH/SYED MATLOOB HUSSAIN MR</t>
  </si>
  <si>
    <t>OJEQPB</t>
  </si>
  <si>
    <t>IQBAL/MOHAMMED MR</t>
  </si>
  <si>
    <t>WXUETQ</t>
  </si>
  <si>
    <t>JAVED/SAJIDA MRS</t>
  </si>
  <si>
    <t>JUHMCT</t>
  </si>
  <si>
    <t>+44 7403 446482</t>
  </si>
  <si>
    <t>SHAH/ASHIQ HUSSAIN MR</t>
  </si>
  <si>
    <t>JWBKJF</t>
  </si>
  <si>
    <t>+44 7852 353730</t>
  </si>
  <si>
    <t>MALIK BIBI/SALEEM AKHTAR MR</t>
  </si>
  <si>
    <t>IACDOA</t>
  </si>
  <si>
    <t>+44 7459 908436</t>
  </si>
  <si>
    <t>MUSHTAQ/AAMIR MR</t>
  </si>
  <si>
    <t>JYQWEM</t>
  </si>
  <si>
    <t>PK/AF</t>
  </si>
  <si>
    <t>KHAN JAN/GUL BAHAR MR</t>
  </si>
  <si>
    <t>WXDRYS</t>
  </si>
  <si>
    <t>+44 7404 512761</t>
  </si>
  <si>
    <t>AHMED/NABILA MRS</t>
  </si>
  <si>
    <t>YHCJFW</t>
  </si>
  <si>
    <t>+44 7826 150755</t>
  </si>
  <si>
    <t>JDIWDV</t>
  </si>
  <si>
    <t>ABBASI/MUHAMMAD HARIS MR</t>
  </si>
  <si>
    <t>KPNBVL</t>
  </si>
  <si>
    <t>NAQVI/RIDA ZAINAB MRS</t>
  </si>
  <si>
    <t>QJISHJ</t>
  </si>
  <si>
    <t>CX/BA</t>
  </si>
  <si>
    <t>OENLTV</t>
  </si>
  <si>
    <t>KHAN/ADAIB MR</t>
  </si>
  <si>
    <t>GOBPAI</t>
  </si>
  <si>
    <t>+44 7702 058046</t>
  </si>
  <si>
    <t>SHAH/GHULAM HUSNAIN ALI MR</t>
  </si>
  <si>
    <t>OLOPXR</t>
  </si>
  <si>
    <t>+44 7843 864332</t>
  </si>
  <si>
    <t>AUZAVX</t>
  </si>
  <si>
    <t>+44 7448 213136</t>
  </si>
  <si>
    <t>HUSSAIN/CHOUDARY IBRAR MR</t>
  </si>
  <si>
    <t>FNNKFA</t>
  </si>
  <si>
    <t>+44 7749 891236</t>
  </si>
  <si>
    <t>JEWEL/MR</t>
  </si>
  <si>
    <t>AFTJNY</t>
  </si>
  <si>
    <t>+44 7440 284999/07405097979</t>
  </si>
  <si>
    <t>ARIF/NUMAN MR</t>
  </si>
  <si>
    <t>AECORR</t>
  </si>
  <si>
    <t>PK</t>
  </si>
  <si>
    <t>115 BAL</t>
  </si>
  <si>
    <t>+44 7456 559969</t>
  </si>
  <si>
    <t>NISSA/NAJMUN MRS</t>
  </si>
  <si>
    <t>QWTZYD</t>
  </si>
  <si>
    <t>+44 7908 852325</t>
  </si>
  <si>
    <t>EGVJHO</t>
  </si>
  <si>
    <t>+44 7456 440240</t>
  </si>
  <si>
    <t>FAREED/NAFEESA MRS</t>
  </si>
  <si>
    <t>UABDFO</t>
  </si>
  <si>
    <t>BIBI/AISHA MS</t>
  </si>
  <si>
    <t>QGQWUP</t>
  </si>
  <si>
    <t>EY/PK</t>
  </si>
  <si>
    <t>FAREED/MOHAMMED MR</t>
  </si>
  <si>
    <t>WLLFEU</t>
  </si>
  <si>
    <t>SHABIR/SHABAB MR</t>
  </si>
  <si>
    <t>LTORBJ</t>
  </si>
  <si>
    <t>IOHTUX</t>
  </si>
  <si>
    <t>SERAJEH HASANI/SOHEILA MRS</t>
  </si>
  <si>
    <t>GTLUNW</t>
  </si>
  <si>
    <t>KHAN LODHI/MOHAMMAD JAVAID MR</t>
  </si>
  <si>
    <t>QKBMCW</t>
  </si>
  <si>
    <t>KAZMI/SYED MUHAMMAD SIBTAIN MR</t>
  </si>
  <si>
    <t>MEKVIZ</t>
  </si>
  <si>
    <t>SHAH/ISHTIAQ HUSSAIN MR</t>
  </si>
  <si>
    <t>WYXSPV</t>
  </si>
  <si>
    <t>NAPXPG</t>
  </si>
  <si>
    <t>HUSSAIN/ZAHOOR MR</t>
  </si>
  <si>
    <t>C9PH0H</t>
  </si>
  <si>
    <t>QAYOOM/MUHAMMAD MR</t>
  </si>
  <si>
    <t>LJOSTK</t>
  </si>
  <si>
    <t>KHAN/UMAYYAH MISS*CNN</t>
  </si>
  <si>
    <t>FBFMBH</t>
  </si>
  <si>
    <t>IBRAHIM/MUHAMMAD MR</t>
  </si>
  <si>
    <t>HYDKAO</t>
  </si>
  <si>
    <t>SHROZ/BANYAMIN MR</t>
  </si>
  <si>
    <t>JEYVQB</t>
  </si>
  <si>
    <t>HUSSAIN ASLAM/SHAFQAT MR</t>
  </si>
  <si>
    <t>UFMKMP</t>
  </si>
  <si>
    <t>BEGUM/KALI MRS</t>
  </si>
  <si>
    <t>QIPPPT</t>
  </si>
  <si>
    <t>BILAL/MUHAMMAD MR</t>
  </si>
  <si>
    <t>LCJEVL</t>
  </si>
  <si>
    <t>SALEEM/ALEENA MRS</t>
  </si>
  <si>
    <t>DHLYQF</t>
  </si>
  <si>
    <t>SHAH/NAVEEDA MRS</t>
  </si>
  <si>
    <t>OCUNWD</t>
  </si>
  <si>
    <t>EARMJN</t>
  </si>
  <si>
    <t>TS</t>
  </si>
  <si>
    <t>MUBASHER/TANWEER MRS</t>
  </si>
  <si>
    <t>GKHBGR</t>
  </si>
  <si>
    <t>RANA/MUBASHER HUSSAIN MR</t>
  </si>
  <si>
    <t>QDNLWO</t>
  </si>
  <si>
    <t>SHAH/UMME LAILA MRS</t>
  </si>
  <si>
    <t>DFKTIN</t>
  </si>
  <si>
    <t>ZAMAN/MUHAMMAD MR</t>
  </si>
  <si>
    <t>IUVSKQ</t>
  </si>
  <si>
    <t>SHAH/MASOOD HUSSAIN MR</t>
  </si>
  <si>
    <t>CNYYWE</t>
  </si>
  <si>
    <t>HUSSAIN/TARIQ MR</t>
  </si>
  <si>
    <t>FSJQIG</t>
  </si>
  <si>
    <t>BIBI/HAJIRA MRS</t>
  </si>
  <si>
    <t>KZOKCA</t>
  </si>
  <si>
    <t>SHAHZAD/KHURRAM MR</t>
  </si>
  <si>
    <t>LSXNSV</t>
  </si>
  <si>
    <t>R-ER</t>
  </si>
  <si>
    <t>KHAN/FEROZ MR</t>
  </si>
  <si>
    <t>USDSKR</t>
  </si>
  <si>
    <t>KHAN/AHMED MR</t>
  </si>
  <si>
    <t>OFXRLU</t>
  </si>
  <si>
    <t>DAULATZAI/ILHAMUDEN MR</t>
  </si>
  <si>
    <t>NKXIDP</t>
  </si>
  <si>
    <t>FWALDF</t>
  </si>
  <si>
    <t>SINGH/GURVINDER</t>
  </si>
  <si>
    <t>DIVUQQ</t>
  </si>
  <si>
    <t>AI</t>
  </si>
  <si>
    <t>SHAH/RIFAT BATOOL MRS</t>
  </si>
  <si>
    <t>FZXAJR</t>
  </si>
  <si>
    <t>QAISAR/MISBAH MRS</t>
  </si>
  <si>
    <t>KYTGCU</t>
  </si>
  <si>
    <t>KHATOON/SUBIKA MRS</t>
  </si>
  <si>
    <t>MHSQRF</t>
  </si>
  <si>
    <t>NOMAN/MUHAMMAD MR</t>
  </si>
  <si>
    <t>NZLFXF</t>
  </si>
  <si>
    <t>DALER/SAKHI MR</t>
  </si>
  <si>
    <t>IZXIUU</t>
  </si>
  <si>
    <t>SHAH/SAQAB HUSSAIN MR</t>
  </si>
  <si>
    <t>YPNSCI</t>
  </si>
  <si>
    <t>HUSSAIN/SAJJAD MR</t>
  </si>
  <si>
    <t>FQKGNI</t>
  </si>
  <si>
    <t>DOULATZAI/PASHTOON MRS</t>
  </si>
  <si>
    <t>ASHIGJ</t>
  </si>
  <si>
    <t>SHAHEEN/NAJIA MRS</t>
  </si>
  <si>
    <t>MJDPPL</t>
  </si>
  <si>
    <t>AYESHA/ANAUM MRS</t>
  </si>
  <si>
    <t>SLLEWR</t>
  </si>
  <si>
    <t>FAROUQ/UMAR MR</t>
  </si>
  <si>
    <t>NZYGDJ</t>
  </si>
  <si>
    <t>HABEEBULLA KHAN/IRFAN ULLA KHAN MR</t>
  </si>
  <si>
    <t>GBGUIW</t>
  </si>
  <si>
    <t>ALI/MOHAMMED AKBAR MR</t>
  </si>
  <si>
    <t>WTGRLH</t>
  </si>
  <si>
    <t>AC</t>
  </si>
  <si>
    <t>ZAHRA/ALIYA MS</t>
  </si>
  <si>
    <t>UYMUGG</t>
  </si>
  <si>
    <t>MEHMOOD/FARHAD MR</t>
  </si>
  <si>
    <t>GBDRHE</t>
  </si>
  <si>
    <t>BABO/GUL MRS</t>
  </si>
  <si>
    <t>MPQPWL</t>
  </si>
  <si>
    <t>KHADIJA/GHULAM MRS</t>
  </si>
  <si>
    <t>MWGIZT</t>
  </si>
  <si>
    <t>TARIQ/SABA MRS</t>
  </si>
  <si>
    <t>QNPCRI</t>
  </si>
  <si>
    <t>KHAN/GHAFFAR ASHRAF MR</t>
  </si>
  <si>
    <t>INMSVK</t>
  </si>
  <si>
    <t>HUSSAIN/SAFDAR MR</t>
  </si>
  <si>
    <t>UYNJRK</t>
  </si>
  <si>
    <t>WAHID/ABDUL MR</t>
  </si>
  <si>
    <t>FJUTUV</t>
  </si>
  <si>
    <t>MDKBWA</t>
  </si>
  <si>
    <t>HANIF/MUHAMMAD MR</t>
  </si>
  <si>
    <t>UYSMOE</t>
  </si>
  <si>
    <t>U</t>
  </si>
  <si>
    <t>QROVMG</t>
  </si>
  <si>
    <t>NASIR/SYED ALI MR</t>
  </si>
  <si>
    <t>SHQMOO</t>
  </si>
  <si>
    <t>PC</t>
  </si>
  <si>
    <t>REHMAN/HAFEEZ UR MR</t>
  </si>
  <si>
    <t>SAEBXO</t>
  </si>
  <si>
    <t>SHAH/SYED NASIR ALI MR</t>
  </si>
  <si>
    <t>ASTFDI</t>
  </si>
  <si>
    <t>GHANI/ABDUL MR</t>
  </si>
  <si>
    <t>OFYBWE</t>
  </si>
  <si>
    <t>GHANI/UMAIR MR</t>
  </si>
  <si>
    <t>CNOGZD</t>
  </si>
  <si>
    <t>+44 7842 728240</t>
  </si>
  <si>
    <t>AKHTAR/NASREEN MRS</t>
  </si>
  <si>
    <t>AJCQXC</t>
  </si>
  <si>
    <t>+44 7842 728241</t>
  </si>
  <si>
    <t>NNUMFO</t>
  </si>
  <si>
    <t>AHMED/QURAT UL ANNE MRS</t>
  </si>
  <si>
    <t>MFOZLT</t>
  </si>
  <si>
    <t>MOHAMMAD/YASIN MR</t>
  </si>
  <si>
    <t>KUSCMM</t>
  </si>
  <si>
    <t>07438590688</t>
  </si>
  <si>
    <t>YOUNAS/MOHAMMED MR</t>
  </si>
  <si>
    <t>YPHVSQ</t>
  </si>
  <si>
    <t>TAHIRA/TAFSEEL MRS</t>
  </si>
  <si>
    <t>GGIKWU</t>
  </si>
  <si>
    <t>+44 7405 900686</t>
  </si>
  <si>
    <t>ISHAQ/HAROON MR</t>
  </si>
  <si>
    <t>HIOBIT</t>
  </si>
  <si>
    <t>07574507564</t>
  </si>
  <si>
    <t>IBTIHAJ/MUHAMMAD MSTR*CNN</t>
  </si>
  <si>
    <t>HFPHPQ</t>
  </si>
  <si>
    <t>DGCBFQ</t>
  </si>
  <si>
    <t>+44 7507 794942</t>
  </si>
  <si>
    <t>ANWAR/RASHDAH MRS</t>
  </si>
  <si>
    <t>MRWSUC</t>
  </si>
  <si>
    <t>A3</t>
  </si>
  <si>
    <t>+44 7504 252027</t>
  </si>
  <si>
    <t>ALI/IFTIKHAR MR</t>
  </si>
  <si>
    <t>EYSXON</t>
  </si>
  <si>
    <t>+44 7868 055582</t>
  </si>
  <si>
    <t>HASSAN/SAQLAIN UL MR</t>
  </si>
  <si>
    <t>WFOSFX</t>
  </si>
  <si>
    <t>+44 7969 869975</t>
  </si>
  <si>
    <t>AHMED/WAQAR MR</t>
  </si>
  <si>
    <t>AVJION</t>
  </si>
  <si>
    <t>+44 7717 773803</t>
  </si>
  <si>
    <t>ABBAS/ZAIGHUM MR</t>
  </si>
  <si>
    <t>ITYEKQ</t>
  </si>
  <si>
    <t>+44 7450 261614</t>
  </si>
  <si>
    <t>ALI/AYAN MR</t>
  </si>
  <si>
    <t>WXMMMT</t>
  </si>
  <si>
    <t>HUSSAIN/NAVEED MR</t>
  </si>
  <si>
    <t>WZAYWB</t>
  </si>
  <si>
    <t>RAMZAN/IFRA MS</t>
  </si>
  <si>
    <t>UCRHXR</t>
  </si>
  <si>
    <t>BEGUM/IQBAL MRS</t>
  </si>
  <si>
    <t>SNTBJA</t>
  </si>
  <si>
    <t>NAWAZ/FARUKH MR</t>
  </si>
  <si>
    <t>LUZDBN</t>
  </si>
  <si>
    <t>+44 7472 111411</t>
  </si>
  <si>
    <t>H</t>
  </si>
  <si>
    <t>ZULFIGAR/AMINA MS</t>
  </si>
  <si>
    <t>KMOZAO</t>
  </si>
  <si>
    <t>RZ</t>
  </si>
  <si>
    <t>ZAHID/LYDIE YASMIN MS</t>
  </si>
  <si>
    <t>INNWRX</t>
  </si>
  <si>
    <t>MTRQES</t>
  </si>
  <si>
    <t>BALENTHIRAN/NATHAN MR</t>
  </si>
  <si>
    <t>SXAVQU</t>
  </si>
  <si>
    <t>HS</t>
  </si>
  <si>
    <t>ZAHRA/SHAMA MUNIR MRS</t>
  </si>
  <si>
    <t>WCLGGH</t>
  </si>
  <si>
    <t>OTUZMG</t>
  </si>
  <si>
    <t>ILYAS/HAMZA MR</t>
  </si>
  <si>
    <t>SRDXEH</t>
  </si>
  <si>
    <t>ALI/HAIDER MSTR</t>
  </si>
  <si>
    <t>GKTZMF</t>
  </si>
  <si>
    <t>PERVEEN/SAIMA MRS</t>
  </si>
  <si>
    <t>HIMFBL</t>
  </si>
  <si>
    <t>SHAH/SHABIR HUSSAIN MR</t>
  </si>
  <si>
    <t>HHZMNE</t>
  </si>
  <si>
    <t>HUSSAIN/IMRAN MR</t>
  </si>
  <si>
    <t>ITZJAH</t>
  </si>
  <si>
    <t>HUSSAIN/ESHAL MS*YTH</t>
  </si>
  <si>
    <t>CDVHFS</t>
  </si>
  <si>
    <t>ALI/KANEEZ FATIMA MRS</t>
  </si>
  <si>
    <t>HKYRZS</t>
  </si>
  <si>
    <t>MFZKOS</t>
  </si>
  <si>
    <t>KHAN/MUHAMMAD AFTAB ALAM MR</t>
  </si>
  <si>
    <t>KFNZAK</t>
  </si>
  <si>
    <t>KAYANI/TARIQ MAHMOOD MR</t>
  </si>
  <si>
    <t>GAXKUS</t>
  </si>
  <si>
    <t>BI/EIMAN MRS</t>
  </si>
  <si>
    <t>LWADWP</t>
  </si>
  <si>
    <t>RAJA/MUHAMMAD SADIQ MR</t>
  </si>
  <si>
    <t>YENIZD</t>
  </si>
  <si>
    <t>JAFARI/SYED GULISTAN HAIDER MR</t>
  </si>
  <si>
    <t>OIHWCR</t>
  </si>
  <si>
    <t>KAUSAR/ROBINA MRS</t>
  </si>
  <si>
    <t>NUBDNE</t>
  </si>
  <si>
    <t>SEMNKN</t>
  </si>
  <si>
    <t>TG</t>
  </si>
  <si>
    <t>ZAMAN/NASIR UZ MR</t>
  </si>
  <si>
    <t>QMSQSW</t>
  </si>
  <si>
    <t>NEKKHAVI/ASJAD ALI MR</t>
  </si>
  <si>
    <t>FHVQOO</t>
  </si>
  <si>
    <t>HUSSAIN/BASHARAT MR</t>
  </si>
  <si>
    <t>INWAQW</t>
  </si>
  <si>
    <t>SHAH/SYED IJAZ HUSSAIN MR</t>
  </si>
  <si>
    <t>HGWSVU</t>
  </si>
  <si>
    <t>BI/FATIMA MRS</t>
  </si>
  <si>
    <t>IIHYXD</t>
  </si>
  <si>
    <t>DQKJXD</t>
  </si>
  <si>
    <t>J2</t>
  </si>
  <si>
    <t>NAQVI/ALIZA ZAHRA MS</t>
  </si>
  <si>
    <t>QFWZXM</t>
  </si>
  <si>
    <t>LVJDBW</t>
  </si>
  <si>
    <t>ANWAR/FARZANA MRS</t>
  </si>
  <si>
    <t>ERNBAE</t>
  </si>
  <si>
    <t>VS/SV</t>
  </si>
  <si>
    <t>ANWAR/UZMA ALEEM MRS</t>
  </si>
  <si>
    <t>QMDCOE</t>
  </si>
  <si>
    <t>HUSSAIN/FAKHARA MRS</t>
  </si>
  <si>
    <t>FYTKDR</t>
  </si>
  <si>
    <t>JFHPPP</t>
  </si>
  <si>
    <t>MALIK/SHAHWAIZ MR</t>
  </si>
  <si>
    <t>UJWUNM</t>
  </si>
  <si>
    <t>KAZIM/SYEDA NABILA MRS</t>
  </si>
  <si>
    <t>UJPICF</t>
  </si>
  <si>
    <t>NYCWIW</t>
  </si>
  <si>
    <t>KAZMI/NADEEM ABBAS MR</t>
  </si>
  <si>
    <t>JKKMJJ</t>
  </si>
  <si>
    <t>P</t>
  </si>
  <si>
    <t>GULSHAD/MOHAMMED MR</t>
  </si>
  <si>
    <t>WELYEO</t>
  </si>
  <si>
    <t>SHAH/SYED ATHAR HUSSAIN MR</t>
  </si>
  <si>
    <t>MPYABM</t>
  </si>
  <si>
    <t>HUSSAIN SHAH/SYED INTIZA MR</t>
  </si>
  <si>
    <t>AKVUKY</t>
  </si>
  <si>
    <t>QEKZOU</t>
  </si>
  <si>
    <t>ZAIDI/KAMAL HAIDER MR</t>
  </si>
  <si>
    <t>FGUUJD</t>
  </si>
  <si>
    <t>ABBAS/SYED ZAFAR MR</t>
  </si>
  <si>
    <t>SQYRFC</t>
  </si>
  <si>
    <t>CABUNILAS/ELSA MORRIE MRS</t>
  </si>
  <si>
    <t>UFSOML</t>
  </si>
  <si>
    <t>AMIN/ASMA MRS</t>
  </si>
  <si>
    <t>YHWBJO</t>
  </si>
  <si>
    <t>MEHMOOD/KHIZAR MR</t>
  </si>
  <si>
    <t>HAIDGR</t>
  </si>
  <si>
    <t>KAZMI/SYEDA MEHAK ZAHRA MS</t>
  </si>
  <si>
    <t>EHINMW</t>
  </si>
  <si>
    <t>IMRAN/SOFIA MRS</t>
  </si>
  <si>
    <t>DTECXK</t>
  </si>
  <si>
    <t>BASHIR/MOHAMMED MR</t>
  </si>
  <si>
    <t>JHQBFH</t>
  </si>
  <si>
    <t>KAZMI/SYED SAQLAIN MR</t>
  </si>
  <si>
    <t>MAEOQX</t>
  </si>
  <si>
    <t>KAUSAR/NAILA MRS</t>
  </si>
  <si>
    <t>QHMEWH</t>
  </si>
  <si>
    <t>PARVEEN/SHAZIA MRS</t>
  </si>
  <si>
    <t>EVGFSM</t>
  </si>
  <si>
    <t>YASIN/ABID MAHMOOD MR</t>
  </si>
  <si>
    <t>EORCAJ</t>
  </si>
  <si>
    <t>KDHTZU</t>
  </si>
  <si>
    <t>AZIZ/TOSIF KHALID MR</t>
  </si>
  <si>
    <t>ANCGAC</t>
  </si>
  <si>
    <t>DKPKUS</t>
  </si>
  <si>
    <t>RAFIQUE/MUHAMMAD MR</t>
  </si>
  <si>
    <t>SGQUKM</t>
  </si>
  <si>
    <t>KAZMI/HASHIM RAZA MR</t>
  </si>
  <si>
    <t>GHJLTO</t>
  </si>
  <si>
    <t>HUSSAIN/ISRAR MR</t>
  </si>
  <si>
    <t>QEXOGI</t>
  </si>
  <si>
    <t>AHMED/SHAHZAD MR</t>
  </si>
  <si>
    <t>UKWOTH</t>
  </si>
  <si>
    <t>SADHEER/ISRA MRS</t>
  </si>
  <si>
    <t>FLWVVS</t>
  </si>
  <si>
    <t>ALI/AMJID MR</t>
  </si>
  <si>
    <t>KLGOSE</t>
  </si>
  <si>
    <t xml:space="preserve">NAEEM/MUHAMMAD MR   </t>
  </si>
  <si>
    <t>FBXASK</t>
  </si>
  <si>
    <t>KHALID/KHUNSHA MS</t>
  </si>
  <si>
    <t>MTEPXV</t>
  </si>
  <si>
    <t>HUSSAIN/ABRAR MR</t>
  </si>
  <si>
    <t>DLSSDF</t>
  </si>
  <si>
    <t>MASIH/EJAZ MR</t>
  </si>
  <si>
    <t>FHCMUE</t>
  </si>
  <si>
    <t>JEYUIN</t>
  </si>
  <si>
    <t>AHMED/MUSHTAQ MR</t>
  </si>
  <si>
    <t>HJIQIA</t>
  </si>
  <si>
    <t>GWPQOY</t>
  </si>
  <si>
    <t>KAUSAR/NAZIA MRS</t>
  </si>
  <si>
    <t>SIQLDC</t>
  </si>
  <si>
    <t>KHAN/GULAB MR</t>
  </si>
  <si>
    <t>ODIIKT</t>
  </si>
  <si>
    <t>KHAN/AJAZ MR</t>
  </si>
  <si>
    <t>UQBYKT</t>
  </si>
  <si>
    <t>ARIF/FAIZA MRS</t>
  </si>
  <si>
    <t>NTTSUD</t>
  </si>
  <si>
    <t>SBTBJA</t>
  </si>
  <si>
    <t>KHAN/TAIMUR MR</t>
  </si>
  <si>
    <t>IUYRBH</t>
  </si>
  <si>
    <t>KAZMI/FAHMIDA MOHSIN MRS</t>
  </si>
  <si>
    <t>OVWDKI</t>
  </si>
  <si>
    <t>KAZMI/MOHSIN MR</t>
  </si>
  <si>
    <t>FFHCZI</t>
  </si>
  <si>
    <t>SHAUKAT/AYESHA MRS</t>
  </si>
  <si>
    <t>JVRIYX</t>
  </si>
  <si>
    <t>ZAHROOF/MUHAMMAD MR</t>
  </si>
  <si>
    <t>NROAWY</t>
  </si>
  <si>
    <t>MAHMOOD DARR/SAJID MR</t>
  </si>
  <si>
    <t>OAQNUU</t>
  </si>
  <si>
    <t>OUVGKD</t>
  </si>
  <si>
    <t>JOSJPR</t>
  </si>
  <si>
    <t>KMSIBG</t>
  </si>
  <si>
    <t>BATOOL/SYEDA SAIMA MRS</t>
  </si>
  <si>
    <t>UWJPQW</t>
  </si>
  <si>
    <t>NAQVI/SYEDA RUKHSHINDA MRS</t>
  </si>
  <si>
    <t>SVYJIK</t>
  </si>
  <si>
    <t>QWUZBY</t>
  </si>
  <si>
    <t>MUGHAL/SHUJAAH MONIS MR</t>
  </si>
  <si>
    <t>GQPRSJ</t>
  </si>
  <si>
    <t>MEHMOOD/ZAFFAR MR</t>
  </si>
  <si>
    <t>ANAMZR</t>
  </si>
  <si>
    <t>ECOSBD</t>
  </si>
  <si>
    <t>ASARIA/FATIMABAI PYARALI HASSANALLI MS</t>
  </si>
  <si>
    <t>YWBDUJ</t>
  </si>
  <si>
    <t>ZH</t>
  </si>
  <si>
    <t>MAHMOOD/KHALID MR</t>
  </si>
  <si>
    <t>QZOIRH</t>
  </si>
  <si>
    <t>SADIQ/FARZANA MRS</t>
  </si>
  <si>
    <t>HBSDLA</t>
  </si>
  <si>
    <t>LFFTZM</t>
  </si>
  <si>
    <t xml:space="preserve">TK </t>
  </si>
  <si>
    <t>MJVQVX</t>
  </si>
  <si>
    <t>SVGWIQ</t>
  </si>
  <si>
    <t>IFTIKHAR/MUHAMMAD MR</t>
  </si>
  <si>
    <t>WXACZU</t>
  </si>
  <si>
    <t>GQOXZI</t>
  </si>
  <si>
    <t>BI/JAMILA MRS</t>
  </si>
  <si>
    <t>AAEJHB</t>
  </si>
  <si>
    <t>FATIMA/SYEDA SADAF TAQREEZ MRS</t>
  </si>
  <si>
    <t>JPUILP</t>
  </si>
  <si>
    <t>NASREEN/SHAMA MRS</t>
  </si>
  <si>
    <t>QDBLEJ</t>
  </si>
  <si>
    <t>KHAN/MOHAMMED MOAZAM MR</t>
  </si>
  <si>
    <t>KEPMIS</t>
  </si>
  <si>
    <t>BIBI/SALMA MRS</t>
  </si>
  <si>
    <t>LQVTOM</t>
  </si>
  <si>
    <t>SHAH/MAJID HUSSAIN MR</t>
  </si>
  <si>
    <t>IALOAM</t>
  </si>
  <si>
    <t>JTNVPF</t>
  </si>
  <si>
    <t>WAHEED/SYED ABDUL MR</t>
  </si>
  <si>
    <t>ONBNDP</t>
  </si>
  <si>
    <t>SHAHEEN/SEEMA MRS</t>
  </si>
  <si>
    <t>UDGTRM</t>
  </si>
  <si>
    <t>MAHMOOD/MUDDASSAR MR</t>
  </si>
  <si>
    <t>DSWSZJ</t>
  </si>
  <si>
    <t>Zainab/Syeda Rida Mr</t>
  </si>
  <si>
    <t>IGFBMM</t>
  </si>
  <si>
    <t>AHMAD/SAJJAD MR</t>
  </si>
  <si>
    <t>ODICLM</t>
  </si>
  <si>
    <t>GHAFOOR/MIRZA ABDUL MR</t>
  </si>
  <si>
    <t>CEGZOE</t>
  </si>
  <si>
    <t>BIBI/BUSHRA MRS</t>
  </si>
  <si>
    <t>LCXBIN</t>
  </si>
  <si>
    <t>AFZAL/MOHAMMED MR</t>
  </si>
  <si>
    <t>LAROZG</t>
  </si>
  <si>
    <t>HAMDANI/SYEDA HAJRA MRS</t>
  </si>
  <si>
    <t>FXDJUO</t>
  </si>
  <si>
    <t>OFPICL</t>
  </si>
  <si>
    <t>SUMMANDAR/SIDHRA MS</t>
  </si>
  <si>
    <t>HMUYDZ</t>
  </si>
  <si>
    <t>KHAN/SUMANDER MR</t>
  </si>
  <si>
    <t>SOUCZH</t>
  </si>
  <si>
    <t>KHAN/RAJA MUHAMMAD SARWAR MR</t>
  </si>
  <si>
    <t>QUDEEH</t>
  </si>
  <si>
    <t>KAZMI/ZIA UL HASSAN MR</t>
  </si>
  <si>
    <t>SIXMVI</t>
  </si>
  <si>
    <t>AMIN/MUHAMMAD MR</t>
  </si>
  <si>
    <t>HVOERS</t>
  </si>
  <si>
    <t>GAQHGF</t>
  </si>
  <si>
    <t>WNIACS</t>
  </si>
  <si>
    <t>ANIMIT</t>
  </si>
  <si>
    <t>EK/PK</t>
  </si>
  <si>
    <t>YEBOAH/MARIAN MS</t>
  </si>
  <si>
    <t>WSNVWL</t>
  </si>
  <si>
    <t>CZ</t>
  </si>
  <si>
    <t>YEBOAH/BISMARK KWAME MR</t>
  </si>
  <si>
    <t>EGSGQB</t>
  </si>
  <si>
    <t>TP</t>
  </si>
  <si>
    <t>MEHMOOD/ZAHID MR</t>
  </si>
  <si>
    <t>WIBUHG</t>
  </si>
  <si>
    <t>AHMED/MUHAMMAD TALAL MSTR*CNN</t>
  </si>
  <si>
    <t>OYVQGB</t>
  </si>
  <si>
    <t>UMLADZ</t>
  </si>
  <si>
    <t>ZARAIT/NABEELA MRS</t>
  </si>
  <si>
    <t>CYKLRN</t>
  </si>
  <si>
    <t>ANWAR/ALI MR</t>
  </si>
  <si>
    <t>KTLRTA</t>
  </si>
  <si>
    <t>KHAN/MOHAMMAD ISHFAQ MR</t>
  </si>
  <si>
    <t>OWNRHU</t>
  </si>
  <si>
    <t>KOUSAR/NOUREEN MRS</t>
  </si>
  <si>
    <t>HAFFOG</t>
  </si>
  <si>
    <t>RAJA/IMRAN RABBANI MR</t>
  </si>
  <si>
    <t>CLJTET</t>
  </si>
  <si>
    <t>CTOHDA</t>
  </si>
  <si>
    <t>MALIK/QAISAR JAVED MR</t>
  </si>
  <si>
    <t>ERLCXG</t>
  </si>
  <si>
    <t>SHAH/HASAN ALI MR</t>
  </si>
  <si>
    <t>MLVNSM</t>
  </si>
  <si>
    <t>BEGUM/BUSHRA MRS</t>
  </si>
  <si>
    <t>LMCDZS</t>
  </si>
  <si>
    <t>AKHTAR/JAVED MR</t>
  </si>
  <si>
    <t>LMLZKM</t>
  </si>
  <si>
    <t>TARIQ/MAHMOOD MR</t>
  </si>
  <si>
    <t>OAFJIR</t>
  </si>
  <si>
    <t>SHAH/SYED GHULAM FAZLAY ABBAS MR</t>
  </si>
  <si>
    <t>DTUYRX</t>
  </si>
  <si>
    <t>BIBI/HASEENA MRS</t>
  </si>
  <si>
    <t>DFPAQS</t>
  </si>
  <si>
    <t>KHAN/MUHAMMAD AFFAN MSTR*CNN</t>
  </si>
  <si>
    <t>GCUTXV</t>
  </si>
  <si>
    <t>KQVSJJ</t>
  </si>
  <si>
    <t>AHMED/AJAZ MR</t>
  </si>
  <si>
    <t>LIPCWM</t>
  </si>
  <si>
    <t>NAZ/FARZANA MS</t>
  </si>
  <si>
    <t>Go to Top</t>
  </si>
  <si>
    <t>Add new line above this</t>
  </si>
  <si>
    <t>Issue Date</t>
  </si>
  <si>
    <t>Ticket (£)</t>
  </si>
  <si>
    <t>Hotel (£)</t>
  </si>
  <si>
    <t>Transport (£)</t>
  </si>
  <si>
    <t>Visa (£)</t>
  </si>
  <si>
    <t>Net Cost</t>
  </si>
  <si>
    <t>Payment Date</t>
  </si>
  <si>
    <t>Sale cost</t>
  </si>
  <si>
    <t>Profit</t>
  </si>
  <si>
    <t>Notes</t>
  </si>
  <si>
    <t>Com</t>
  </si>
  <si>
    <t>Sajid Hussain</t>
  </si>
  <si>
    <t>Issued by Hussaini</t>
  </si>
  <si>
    <t>Abdul Wahid</t>
  </si>
  <si>
    <t>UYNJRK, FJUTUV, MDKBWA</t>
  </si>
  <si>
    <t>27/09/2025, 05/10/2025</t>
  </si>
  <si>
    <t>21/10/2025, 26/11/2025</t>
  </si>
  <si>
    <t>£81.92 loss by ticket fare issuance, Saudi Tickets issued by Rida, Rest issued by Hussaini</t>
  </si>
  <si>
    <t>Muhammad Hanif</t>
  </si>
  <si>
    <t>UYSMOE, QROVMG</t>
  </si>
  <si>
    <t>Tickets x1 £5</t>
  </si>
  <si>
    <t>Syed Ali Nasir</t>
  </si>
  <si>
    <t>Tickets x6 £5</t>
  </si>
  <si>
    <t>Syed Nasir Ali Shah</t>
  </si>
  <si>
    <t>10/10/2025, 16/10/2025</t>
  </si>
  <si>
    <t>16/10/2025, 15/11/2025</t>
  </si>
  <si>
    <t>Michael Tichaona Manyangadze</t>
  </si>
  <si>
    <t>W95342</t>
  </si>
  <si>
    <t>N/A</t>
  </si>
  <si>
    <t>Naveed Abbas</t>
  </si>
  <si>
    <t>W95327</t>
  </si>
  <si>
    <t>Rashdaw Anwar</t>
  </si>
  <si>
    <t>Shazia Khalid</t>
  </si>
  <si>
    <t>Misom Zaidi</t>
  </si>
  <si>
    <t>Sakhawat Hussain</t>
  </si>
  <si>
    <t>placeholder</t>
  </si>
  <si>
    <t>Original Fare</t>
  </si>
  <si>
    <t>New Lower Fare</t>
  </si>
  <si>
    <t>Difference</t>
  </si>
  <si>
    <t>Date</t>
  </si>
  <si>
    <t>10%</t>
  </si>
  <si>
    <t>50% from June</t>
  </si>
  <si>
    <t>GMIUMK</t>
  </si>
  <si>
    <t>Insert new line above</t>
  </si>
  <si>
    <t>Total Commission</t>
  </si>
  <si>
    <t>Ticket Quantity</t>
  </si>
  <si>
    <t>Low Fare</t>
  </si>
  <si>
    <t>Count</t>
  </si>
  <si>
    <t>Sum of profit</t>
  </si>
  <si>
    <t>Sum of Total Pax</t>
  </si>
  <si>
    <t>(&lt;=30 = £5 per ticket)</t>
  </si>
  <si>
    <t>&gt;=31 = £10 per ticket</t>
  </si>
  <si>
    <t>Sum of 10%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</si>
  <si>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</si>
  <si>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</si>
  <si>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</si>
  <si>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</si>
  <si>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</si>
  <si>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</si>
  <si>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</si>
  <si>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</si>
  <si>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</si>
  <si>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</si>
  <si>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</si>
  <si>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</si>
  <si>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</si>
  <si>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Umrah</t>
  </si>
  <si>
    <t>Ignore</t>
  </si>
  <si>
    <t>Sum of Com</t>
  </si>
  <si>
    <t>Sum of Fare Cost</t>
  </si>
  <si>
    <t>Sum of Sale Cost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</si>
  <si>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</si>
  <si>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</si>
  <si>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</si>
  <si>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</si>
  <si>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</si>
  <si>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</si>
  <si>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</si>
  <si>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</si>
  <si>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</si>
  <si>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</si>
  <si>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</si>
  <si>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</si>
  <si>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</si>
  <si>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This record is for yourself and is not monitored</t>
  </si>
  <si>
    <t>Name</t>
  </si>
  <si>
    <t>Payment date</t>
  </si>
  <si>
    <t>Total Amount due</t>
  </si>
  <si>
    <t>Payment 1</t>
  </si>
  <si>
    <t>Payment 2</t>
  </si>
  <si>
    <t>Payment 3</t>
  </si>
  <si>
    <t>Payment 4</t>
  </si>
  <si>
    <t>Payment 5</t>
  </si>
  <si>
    <t>Payment 6</t>
  </si>
  <si>
    <t>Payment 7</t>
  </si>
  <si>
    <t>Payment 8</t>
  </si>
  <si>
    <t>Payment 9</t>
  </si>
  <si>
    <t>Payment 10</t>
  </si>
  <si>
    <t>BALANCE</t>
  </si>
  <si>
    <t>Habib Ullah - 4 installments</t>
  </si>
  <si>
    <t>29 of every month</t>
  </si>
  <si>
    <t>Fouzia Hafiz - 6 installments</t>
  </si>
  <si>
    <t>6 weeks plan</t>
  </si>
  <si>
    <t>Tahira Saleem - 4 installments</t>
  </si>
  <si>
    <t>21 of every month</t>
  </si>
  <si>
    <t>Husnain - 6 installments</t>
  </si>
  <si>
    <t>first of every month</t>
  </si>
  <si>
    <t>Shabab Shabir - 2 installmetns</t>
  </si>
  <si>
    <t>7 of every month</t>
  </si>
  <si>
    <t xml:space="preserve">Sajid Hussain </t>
  </si>
  <si>
    <t xml:space="preserve">Nasir Ali </t>
  </si>
  <si>
    <t>Shakil Hussain</t>
  </si>
  <si>
    <t>15/12/2025</t>
  </si>
  <si>
    <t>25/11/2025</t>
  </si>
  <si>
    <t>Qasim Zaffar</t>
  </si>
  <si>
    <t>25 of every month</t>
  </si>
  <si>
    <t>24/10/2025</t>
  </si>
  <si>
    <t xml:space="preserve">Ghulam Nabi </t>
  </si>
  <si>
    <t>29/12/2025</t>
  </si>
  <si>
    <t>Abdul Ghafoor</t>
  </si>
  <si>
    <t>20 of every month</t>
  </si>
  <si>
    <t>21/12/2025</t>
  </si>
  <si>
    <t>Syed Abdul Waheed</t>
  </si>
  <si>
    <t>30/12/2025</t>
  </si>
  <si>
    <t>Ahbida Bibi</t>
  </si>
  <si>
    <t>4 weeks</t>
  </si>
  <si>
    <t>TOTAL</t>
  </si>
  <si>
    <t>TRACK YOUR OTHER PAYMENTS HERE</t>
  </si>
  <si>
    <t>Total Amount Due</t>
  </si>
  <si>
    <t>Paid</t>
  </si>
  <si>
    <t>Balance</t>
  </si>
  <si>
    <t>21/02/2023</t>
  </si>
  <si>
    <t>Muhammad Saleem</t>
  </si>
  <si>
    <t>MT</t>
  </si>
  <si>
    <t>WAJID ALI SHAH</t>
  </si>
  <si>
    <t>RASHDA JABEEN</t>
  </si>
  <si>
    <t>BASHARAT UMER</t>
  </si>
  <si>
    <t>BAHAWAL Mother</t>
  </si>
  <si>
    <t>Sajjad Ahmed</t>
  </si>
  <si>
    <t>sohail khalil</t>
  </si>
  <si>
    <t>Rayan - Palestine</t>
  </si>
  <si>
    <t>31/12/2025</t>
  </si>
  <si>
    <t>Syed Hamzah Ali Bukhari</t>
  </si>
  <si>
    <t>Athar Shah</t>
  </si>
  <si>
    <t>13/12/2025</t>
  </si>
  <si>
    <t>Mobeen Ali</t>
  </si>
  <si>
    <t>Mushtaq Hussain Shah</t>
  </si>
  <si>
    <t xml:space="preserve">Iftikhar Roti Junction </t>
  </si>
  <si>
    <t xml:space="preserve">Jamila Bi </t>
  </si>
  <si>
    <t>mudasar</t>
  </si>
  <si>
    <t xml:space="preserve">Rahatullah </t>
  </si>
  <si>
    <t>Total (Ticketing/Nadra)</t>
  </si>
  <si>
    <t>ahsan</t>
  </si>
  <si>
    <t>babar</t>
  </si>
  <si>
    <t>zaheer</t>
  </si>
  <si>
    <t>ajaib</t>
  </si>
  <si>
    <t>sagheer shah</t>
  </si>
  <si>
    <t>ghazala</t>
  </si>
  <si>
    <t>murtaza shah</t>
  </si>
  <si>
    <t>mulana</t>
  </si>
  <si>
    <t>amjad</t>
  </si>
  <si>
    <t>rukniz</t>
  </si>
  <si>
    <t>saeed</t>
  </si>
  <si>
    <t>saima</t>
  </si>
  <si>
    <t>saddik</t>
  </si>
  <si>
    <t>zeba</t>
  </si>
  <si>
    <t>Total (MT)</t>
  </si>
  <si>
    <t>Installment</t>
  </si>
  <si>
    <t>NAME</t>
  </si>
  <si>
    <t>AIRLINE</t>
  </si>
  <si>
    <t>TICKET ISSUED</t>
  </si>
  <si>
    <t>VOUCHER ISSUED</t>
  </si>
  <si>
    <t>Expiry Date</t>
  </si>
  <si>
    <t>STATUS</t>
  </si>
  <si>
    <t>VALUE</t>
  </si>
  <si>
    <t>NUMBER</t>
  </si>
  <si>
    <t>ARSHID/MOHAMMED MR</t>
  </si>
  <si>
    <t>AAOHCH</t>
  </si>
  <si>
    <t>REFUNDED</t>
  </si>
  <si>
    <t>DOF+NOSHOW+AD</t>
  </si>
  <si>
    <t>07984745944</t>
  </si>
  <si>
    <t>HUSSAIN/MOHAMMAD AZAM MR</t>
  </si>
  <si>
    <t>CODBOH</t>
  </si>
  <si>
    <t>EXPIRED</t>
  </si>
  <si>
    <t>NAN</t>
  </si>
  <si>
    <t>07814660314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</si>
</sst>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£&quot;#,##0.00;[Red]\-&quot;£&quot;#,##0.00"/>
    <numFmt numFmtId="165" formatCode="_-&quot;£&quot;* #,##0.00_-;\-&quot;£&quot;* #,##0.00_-;_-&quot;£&quot;* &quot;-&quot;??_-;_-@_-"/>
    <numFmt numFmtId="166" formatCode="dd/mm/yyyy;@"/>
    <numFmt numFmtId="167" formatCode="[$-F400]h:mm:ss\ AM/PM"/>
    <numFmt numFmtId="168" formatCode="&quot;£&quot;#,##0.00"/>
    <numFmt numFmtId="169" formatCode="_-[$£-809]* #,##0.00_-;\-[$£-809]* #,##0.00_-;_-[$£-809]* &quot;-&quot;??_-;_-@_-"/>
    <numFmt numFmtId="170" formatCode="[$-F800]dddd\,\ mmmm\ dd\,\ yyyy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u/>
      <sz val="11"/>
      <color theme="1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rgb="FFFFB300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C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2">
    <xf numFmtId="0" fontId="0" fillId="0" borderId="0" xfId="0"/>
    <xf numFmtId="1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0" xfId="0" pivotButton="1"/>
    <xf numFmtId="14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166" fontId="0" fillId="0" borderId="0" xfId="0" applyNumberFormat="1" applyAlignment="1">
      <alignment horizontal="center"/>
    </xf>
    <xf numFmtId="0" fontId="2" fillId="0" borderId="12" xfId="0" applyFont="1" applyBorder="1"/>
    <xf numFmtId="165" fontId="2" fillId="0" borderId="14" xfId="0" applyNumberFormat="1" applyFont="1" applyBorder="1"/>
    <xf numFmtId="165" fontId="2" fillId="0" borderId="15" xfId="0" applyNumberFormat="1" applyFont="1" applyBorder="1"/>
    <xf numFmtId="165" fontId="0" fillId="0" borderId="0" xfId="0" applyNumberFormat="1" applyAlignment="1">
      <alignment horizontal="center"/>
    </xf>
    <xf numFmtId="165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19" xfId="0" applyNumberFormat="1" applyBorder="1" applyAlignment="1">
      <alignment horizontal="center"/>
    </xf>
    <xf numFmtId="165" fontId="3" fillId="0" borderId="19" xfId="0" applyNumberFormat="1" applyFont="1" applyBorder="1" applyAlignment="1">
      <alignment horizontal="center"/>
    </xf>
    <xf numFmtId="0" fontId="0" fillId="0" borderId="19" xfId="0" applyBorder="1" applyAlignment="1">
      <alignment horizontal="left"/>
    </xf>
    <xf numFmtId="165" fontId="0" fillId="0" borderId="18" xfId="0" applyNumberFormat="1" applyBorder="1" applyAlignment="1">
      <alignment horizontal="left"/>
    </xf>
    <xf numFmtId="14" fontId="0" fillId="0" borderId="18" xfId="0" applyNumberFormat="1" applyBorder="1" applyAlignment="1">
      <alignment horizontal="left"/>
    </xf>
    <xf numFmtId="166" fontId="0" fillId="0" borderId="18" xfId="0" applyNumberFormat="1" applyBorder="1" applyAlignment="1">
      <alignment horizontal="center"/>
    </xf>
    <xf numFmtId="166" fontId="3" fillId="0" borderId="19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9" fontId="0" fillId="0" borderId="18" xfId="0" applyNumberFormat="1" applyBorder="1" applyAlignment="1">
      <alignment horizontal="center"/>
    </xf>
    <xf numFmtId="168" fontId="0" fillId="0" borderId="0" xfId="0" applyNumberFormat="1"/>
    <xf numFmtId="168" fontId="0" fillId="0" borderId="20" xfId="0" applyNumberFormat="1" applyBorder="1"/>
    <xf numFmtId="165" fontId="4" fillId="2" borderId="19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166" fontId="3" fillId="0" borderId="0" xfId="0" applyNumberFormat="1" applyFont="1"/>
    <xf numFmtId="14" fontId="3" fillId="0" borderId="0" xfId="0" applyNumberFormat="1" applyFont="1"/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0" fillId="0" borderId="17" xfId="0" applyBorder="1"/>
    <xf numFmtId="0" fontId="0" fillId="0" borderId="15" xfId="0" applyBorder="1"/>
    <xf numFmtId="168" fontId="0" fillId="0" borderId="21" xfId="0" applyNumberFormat="1" applyBorder="1"/>
    <xf numFmtId="0" fontId="0" fillId="0" borderId="14" xfId="0" applyBorder="1"/>
    <xf numFmtId="168" fontId="0" fillId="0" borderId="8" xfId="0" applyNumberFormat="1" applyBorder="1"/>
    <xf numFmtId="168" fontId="0" fillId="0" borderId="5" xfId="0" applyNumberFormat="1" applyBorder="1"/>
    <xf numFmtId="14" fontId="0" fillId="0" borderId="18" xfId="0" applyNumberFormat="1" applyBorder="1"/>
    <xf numFmtId="168" fontId="0" fillId="0" borderId="1" xfId="0" applyNumberFormat="1" applyBorder="1" applyAlignment="1">
      <alignment horizontal="center"/>
    </xf>
    <xf numFmtId="14" fontId="0" fillId="0" borderId="8" xfId="0" applyNumberFormat="1" applyBorder="1"/>
    <xf numFmtId="0" fontId="4" fillId="0" borderId="0" xfId="0" applyFont="1"/>
    <xf numFmtId="14" fontId="0" fillId="0" borderId="1" xfId="0" applyNumberFormat="1" applyBorder="1"/>
    <xf numFmtId="168" fontId="0" fillId="0" borderId="0" xfId="0" applyNumberFormat="1" applyAlignment="1">
      <alignment horizontal="right"/>
    </xf>
    <xf numFmtId="168" fontId="9" fillId="0" borderId="0" xfId="0" applyNumberFormat="1" applyFont="1" applyAlignment="1">
      <alignment horizontal="right"/>
    </xf>
    <xf numFmtId="168" fontId="10" fillId="4" borderId="0" xfId="0" applyNumberFormat="1" applyFont="1" applyFill="1" applyAlignment="1">
      <alignment horizontal="center"/>
    </xf>
    <xf numFmtId="17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0" borderId="18" xfId="0" applyBorder="1"/>
    <xf numFmtId="0" fontId="0" fillId="0" borderId="16" xfId="0" applyBorder="1"/>
    <xf numFmtId="0" fontId="5" fillId="0" borderId="14" xfId="0" applyFont="1" applyBorder="1"/>
    <xf numFmtId="0" fontId="5" fillId="0" borderId="0" xfId="0" applyFont="1"/>
    <xf numFmtId="170" fontId="5" fillId="0" borderId="0" xfId="0" applyNumberFormat="1" applyFont="1"/>
    <xf numFmtId="0" fontId="5" fillId="0" borderId="0" xfId="0" applyFont="1" applyAlignment="1">
      <alignment horizontal="center"/>
    </xf>
    <xf numFmtId="0" fontId="3" fillId="0" borderId="9" xfId="0" applyFont="1" applyBorder="1"/>
    <xf numFmtId="0" fontId="3" fillId="0" borderId="8" xfId="0" applyFont="1" applyBorder="1" applyAlignment="1">
      <alignment horizontal="center"/>
    </xf>
    <xf numFmtId="0" fontId="3" fillId="0" borderId="6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0" xfId="0" applyFont="1" applyAlignment="1">
      <alignment horizontal="center"/>
    </xf>
    <xf numFmtId="165" fontId="3" fillId="0" borderId="0" xfId="0" applyNumberFormat="1" applyFont="1"/>
    <xf numFmtId="167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3" fillId="0" borderId="22" xfId="0" applyFont="1" applyBorder="1"/>
    <xf numFmtId="0" fontId="3" fillId="0" borderId="7" xfId="0" applyFont="1" applyBorder="1"/>
    <xf numFmtId="0" fontId="3" fillId="0" borderId="8" xfId="0" applyFont="1" applyBorder="1" applyAlignment="1">
      <alignment horizontal="center" vertical="center"/>
    </xf>
    <xf numFmtId="0" fontId="3" fillId="0" borderId="8" xfId="0" applyFont="1" applyBorder="1"/>
    <xf numFmtId="165" fontId="3" fillId="0" borderId="8" xfId="0" applyNumberFormat="1" applyFont="1" applyBorder="1"/>
    <xf numFmtId="0" fontId="3" fillId="0" borderId="17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65" fontId="3" fillId="0" borderId="2" xfId="0" applyNumberFormat="1" applyFont="1" applyBorder="1"/>
    <xf numFmtId="14" fontId="3" fillId="3" borderId="0" xfId="0" applyNumberFormat="1" applyFont="1" applyFill="1" applyAlignment="1">
      <alignment horizontal="center"/>
    </xf>
    <xf numFmtId="0" fontId="0" fillId="6" borderId="0" xfId="0" applyFill="1"/>
    <xf numFmtId="0" fontId="0" fillId="6" borderId="5" xfId="0" applyFill="1" applyBorder="1"/>
    <xf numFmtId="0" fontId="0" fillId="6" borderId="0" xfId="0" applyFill="1" applyAlignment="1">
      <alignment horizontal="center" vertical="center"/>
    </xf>
    <xf numFmtId="166" fontId="0" fillId="6" borderId="0" xfId="0" applyNumberFormat="1" applyFill="1"/>
    <xf numFmtId="14" fontId="0" fillId="6" borderId="0" xfId="0" applyNumberFormat="1" applyFill="1"/>
    <xf numFmtId="166" fontId="0" fillId="6" borderId="0" xfId="0" applyNumberFormat="1" applyFill="1" applyAlignment="1">
      <alignment horizontal="center"/>
    </xf>
    <xf numFmtId="167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4" fontId="0" fillId="6" borderId="0" xfId="0" applyNumberFormat="1" applyFill="1" applyAlignment="1">
      <alignment horizontal="center"/>
    </xf>
    <xf numFmtId="165" fontId="0" fillId="6" borderId="0" xfId="0" applyNumberFormat="1" applyFill="1"/>
    <xf numFmtId="49" fontId="0" fillId="6" borderId="1" xfId="0" applyNumberFormat="1" applyFill="1" applyBorder="1" applyAlignment="1">
      <alignment horizontal="center"/>
    </xf>
    <xf numFmtId="165" fontId="0" fillId="6" borderId="14" xfId="0" applyNumberFormat="1" applyFill="1" applyBorder="1"/>
    <xf numFmtId="0" fontId="3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6" borderId="0" xfId="0" applyFont="1" applyFill="1"/>
    <xf numFmtId="0" fontId="3" fillId="6" borderId="5" xfId="0" applyFont="1" applyFill="1" applyBorder="1"/>
    <xf numFmtId="0" fontId="3" fillId="6" borderId="0" xfId="0" applyFont="1" applyFill="1" applyAlignment="1">
      <alignment horizontal="center" vertical="center"/>
    </xf>
    <xf numFmtId="166" fontId="3" fillId="6" borderId="0" xfId="0" applyNumberFormat="1" applyFont="1" applyFill="1"/>
    <xf numFmtId="14" fontId="3" fillId="6" borderId="0" xfId="0" applyNumberFormat="1" applyFont="1" applyFill="1"/>
    <xf numFmtId="166" fontId="3" fillId="6" borderId="0" xfId="0" applyNumberFormat="1" applyFont="1" applyFill="1" applyAlignment="1">
      <alignment horizontal="center"/>
    </xf>
    <xf numFmtId="167" fontId="3" fillId="6" borderId="0" xfId="0" applyNumberFormat="1" applyFont="1" applyFill="1" applyAlignment="1">
      <alignment horizontal="center"/>
    </xf>
    <xf numFmtId="14" fontId="3" fillId="6" borderId="0" xfId="0" applyNumberFormat="1" applyFont="1" applyFill="1" applyAlignment="1">
      <alignment horizontal="center"/>
    </xf>
    <xf numFmtId="165" fontId="3" fillId="6" borderId="0" xfId="0" applyNumberFormat="1" applyFont="1" applyFill="1"/>
    <xf numFmtId="49" fontId="3" fillId="6" borderId="1" xfId="0" applyNumberFormat="1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165" fontId="2" fillId="6" borderId="14" xfId="0" applyNumberFormat="1" applyFont="1" applyFill="1" applyBorder="1"/>
    <xf numFmtId="164" fontId="3" fillId="0" borderId="0" xfId="0" applyNumberFormat="1" applyFont="1"/>
    <xf numFmtId="0" fontId="3" fillId="0" borderId="1" xfId="0" applyFont="1" applyBorder="1" applyAlignment="1">
      <alignment horizontal="center"/>
    </xf>
    <xf numFmtId="0" fontId="11" fillId="7" borderId="17" xfId="0" applyFont="1" applyFill="1" applyBorder="1"/>
    <xf numFmtId="0" fontId="11" fillId="7" borderId="8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0" fillId="7" borderId="2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horizontal="left"/>
    </xf>
    <xf numFmtId="165" fontId="0" fillId="0" borderId="0" xfId="0" applyNumberFormat="1"/>
    <xf numFmtId="49" fontId="0" fillId="0" borderId="1" xfId="0" applyNumberFormat="1" applyBorder="1" applyAlignment="1">
      <alignment horizontal="center"/>
    </xf>
    <xf numFmtId="165" fontId="0" fillId="0" borderId="14" xfId="0" applyNumberFormat="1" applyBorder="1"/>
    <xf numFmtId="14" fontId="12" fillId="0" borderId="0" xfId="0" applyNumberFormat="1" applyFont="1" applyAlignment="1">
      <alignment horizontal="center"/>
    </xf>
    <xf numFmtId="166" fontId="3" fillId="6" borderId="0" xfId="0" applyNumberFormat="1" applyFont="1" applyFill="1" applyAlignment="1">
      <alignment horizontal="left"/>
    </xf>
    <xf numFmtId="0" fontId="0" fillId="4" borderId="0" xfId="0" applyFill="1"/>
    <xf numFmtId="0" fontId="13" fillId="4" borderId="0" xfId="0" applyFont="1" applyFill="1"/>
    <xf numFmtId="0" fontId="13" fillId="0" borderId="0" xfId="0" applyFont="1" applyAlignment="1">
      <alignment horizontal="center"/>
    </xf>
    <xf numFmtId="0" fontId="0" fillId="0" borderId="24" xfId="0" applyBorder="1"/>
    <xf numFmtId="0" fontId="0" fillId="0" borderId="25" xfId="0" applyBorder="1"/>
    <xf numFmtId="0" fontId="13" fillId="0" borderId="25" xfId="0" applyFont="1" applyBorder="1" applyAlignment="1">
      <alignment horizontal="center"/>
    </xf>
    <xf numFmtId="165" fontId="13" fillId="0" borderId="23" xfId="0" applyNumberFormat="1" applyFont="1" applyBorder="1"/>
    <xf numFmtId="165" fontId="9" fillId="0" borderId="23" xfId="0" applyNumberFormat="1" applyFont="1" applyBorder="1"/>
    <xf numFmtId="165" fontId="9" fillId="0" borderId="0" xfId="0" applyNumberFormat="1" applyFont="1"/>
    <xf numFmtId="0" fontId="0" fillId="0" borderId="24" xfId="0" applyBorder="1" applyAlignment="1">
      <alignment horizontal="center"/>
    </xf>
    <xf numFmtId="165" fontId="0" fillId="0" borderId="20" xfId="0" applyNumberFormat="1" applyBorder="1" applyAlignment="1">
      <alignment horizontal="left" vertical="center"/>
    </xf>
    <xf numFmtId="165" fontId="0" fillId="0" borderId="23" xfId="0" applyNumberFormat="1" applyBorder="1" applyAlignment="1">
      <alignment horizontal="right" vertical="center"/>
    </xf>
    <xf numFmtId="165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0" fontId="14" fillId="0" borderId="0" xfId="0" applyFont="1" applyAlignment="1">
      <alignment horizontal="center"/>
    </xf>
    <xf numFmtId="164" fontId="0" fillId="0" borderId="0" xfId="0" applyNumberFormat="1"/>
    <xf numFmtId="0" fontId="1" fillId="6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5" fillId="0" borderId="0" xfId="0" applyFont="1" applyAlignment="1">
      <alignment wrapText="1"/>
    </xf>
    <xf numFmtId="14" fontId="3" fillId="6" borderId="0" xfId="0" applyNumberFormat="1" applyFont="1" applyFill="1" applyAlignment="1">
      <alignment horizontal="center" vertical="center"/>
    </xf>
    <xf numFmtId="164" fontId="3" fillId="6" borderId="0" xfId="0" applyNumberFormat="1" applyFont="1" applyFill="1"/>
    <xf numFmtId="0" fontId="3" fillId="3" borderId="5" xfId="0" applyFont="1" applyFill="1" applyBorder="1"/>
    <xf numFmtId="0" fontId="3" fillId="3" borderId="0" xfId="0" applyFont="1" applyFill="1" applyAlignment="1">
      <alignment horizontal="center" vertical="center"/>
    </xf>
    <xf numFmtId="166" fontId="3" fillId="3" borderId="0" xfId="0" applyNumberFormat="1" applyFont="1" applyFill="1"/>
    <xf numFmtId="14" fontId="3" fillId="3" borderId="0" xfId="0" applyNumberFormat="1" applyFont="1" applyFill="1"/>
    <xf numFmtId="166" fontId="3" fillId="3" borderId="0" xfId="0" applyNumberFormat="1" applyFont="1" applyFill="1" applyAlignment="1">
      <alignment horizontal="left"/>
    </xf>
    <xf numFmtId="0" fontId="0" fillId="3" borderId="0" xfId="0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/>
    <xf numFmtId="49" fontId="3" fillId="3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5" fontId="2" fillId="3" borderId="14" xfId="0" applyNumberFormat="1" applyFont="1" applyFill="1" applyBorder="1"/>
    <xf numFmtId="0" fontId="0" fillId="3" borderId="0" xfId="0" applyFill="1"/>
    <xf numFmtId="14" fontId="0" fillId="0" borderId="0" xfId="0" applyNumberFormat="1" applyAlignment="1">
      <alignment horizontal="right"/>
    </xf>
    <xf numFmtId="0" fontId="0" fillId="0" borderId="14" xfId="0" applyBorder="1" applyAlignment="1">
      <alignment wrapText="1"/>
    </xf>
    <xf numFmtId="0" fontId="2" fillId="0" borderId="0" xfId="0" applyFont="1"/>
    <xf numFmtId="0" fontId="2" fillId="6" borderId="0" xfId="0" applyFont="1" applyFill="1"/>
    <xf numFmtId="0" fontId="2" fillId="3" borderId="0" xfId="0" applyFont="1" applyFill="1"/>
    <xf numFmtId="0" fontId="2" fillId="0" borderId="4" xfId="0" applyFont="1" applyBorder="1"/>
    <xf numFmtId="0" fontId="2" fillId="0" borderId="5" xfId="0" applyFont="1" applyBorder="1"/>
    <xf numFmtId="0" fontId="2" fillId="6" borderId="5" xfId="0" applyFont="1" applyFill="1" applyBorder="1"/>
    <xf numFmtId="0" fontId="2" fillId="3" borderId="5" xfId="0" applyFont="1" applyFill="1" applyBorder="1"/>
    <xf numFmtId="0" fontId="2" fillId="0" borderId="19" xfId="0" applyFont="1" applyBorder="1"/>
    <xf numFmtId="0" fontId="2" fillId="4" borderId="18" xfId="0" applyFont="1" applyFill="1" applyBorder="1"/>
    <xf numFmtId="0" fontId="2" fillId="4" borderId="21" xfId="0" applyFont="1" applyFill="1" applyBorder="1"/>
    <xf numFmtId="164" fontId="0" fillId="0" borderId="0" xfId="0" applyNumberFormat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6" xfId="0" applyFont="1" applyBorder="1"/>
    <xf numFmtId="0" fontId="0" fillId="8" borderId="0" xfId="0" applyFill="1"/>
    <xf numFmtId="0" fontId="0" fillId="8" borderId="22" xfId="0" applyFill="1" applyBorder="1"/>
    <xf numFmtId="0" fontId="0" fillId="8" borderId="0" xfId="0" applyFill="1" applyAlignment="1">
      <alignment horizontal="center" vertical="center"/>
    </xf>
    <xf numFmtId="166" fontId="0" fillId="8" borderId="0" xfId="0" applyNumberFormat="1" applyFill="1"/>
    <xf numFmtId="14" fontId="0" fillId="8" borderId="0" xfId="0" applyNumberFormat="1" applyFill="1"/>
    <xf numFmtId="166" fontId="0" fillId="8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left"/>
    </xf>
    <xf numFmtId="0" fontId="0" fillId="8" borderId="0" xfId="0" applyFill="1" applyAlignment="1">
      <alignment horizontal="center"/>
    </xf>
    <xf numFmtId="14" fontId="0" fillId="8" borderId="0" xfId="0" applyNumberFormat="1" applyFill="1" applyAlignment="1">
      <alignment horizontal="center"/>
    </xf>
    <xf numFmtId="165" fontId="0" fillId="8" borderId="0" xfId="0" applyNumberFormat="1" applyFill="1"/>
    <xf numFmtId="49" fontId="0" fillId="8" borderId="1" xfId="0" applyNumberFormat="1" applyFill="1" applyBorder="1" applyAlignment="1">
      <alignment horizontal="center"/>
    </xf>
    <xf numFmtId="165" fontId="0" fillId="8" borderId="14" xfId="0" applyNumberFormat="1" applyFill="1" applyBorder="1"/>
    <xf numFmtId="0" fontId="0" fillId="8" borderId="5" xfId="0" applyFill="1" applyBorder="1"/>
    <xf numFmtId="0" fontId="3" fillId="8" borderId="0" xfId="0" applyFont="1" applyFill="1"/>
    <xf numFmtId="0" fontId="3" fillId="8" borderId="5" xfId="0" applyFont="1" applyFill="1" applyBorder="1"/>
    <xf numFmtId="0" fontId="3" fillId="8" borderId="0" xfId="0" applyFont="1" applyFill="1" applyAlignment="1">
      <alignment horizontal="center" vertical="center"/>
    </xf>
    <xf numFmtId="166" fontId="3" fillId="8" borderId="0" xfId="0" applyNumberFormat="1" applyFont="1" applyFill="1"/>
    <xf numFmtId="14" fontId="3" fillId="8" borderId="0" xfId="0" applyNumberFormat="1" applyFont="1" applyFill="1"/>
    <xf numFmtId="166" fontId="3" fillId="8" borderId="0" xfId="0" applyNumberFormat="1" applyFont="1" applyFill="1" applyAlignment="1">
      <alignment horizontal="center"/>
    </xf>
    <xf numFmtId="166" fontId="3" fillId="8" borderId="0" xfId="0" applyNumberFormat="1" applyFont="1" applyFill="1" applyAlignment="1">
      <alignment horizontal="left"/>
    </xf>
    <xf numFmtId="14" fontId="3" fillId="8" borderId="0" xfId="0" applyNumberFormat="1" applyFont="1" applyFill="1" applyAlignment="1">
      <alignment horizontal="center"/>
    </xf>
    <xf numFmtId="165" fontId="3" fillId="8" borderId="0" xfId="0" applyNumberFormat="1" applyFont="1" applyFill="1"/>
    <xf numFmtId="49" fontId="3" fillId="8" borderId="1" xfId="0" applyNumberFormat="1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165" fontId="2" fillId="8" borderId="14" xfId="0" applyNumberFormat="1" applyFont="1" applyFill="1" applyBorder="1"/>
    <xf numFmtId="0" fontId="2" fillId="8" borderId="0" xfId="0" applyFont="1" applyFill="1"/>
    <xf numFmtId="0" fontId="2" fillId="8" borderId="5" xfId="0" applyFont="1" applyFill="1" applyBorder="1"/>
    <xf numFmtId="0" fontId="0" fillId="4" borderId="27" xfId="0" applyFill="1" applyBorder="1"/>
    <xf numFmtId="0" fontId="0" fillId="0" borderId="27" xfId="0" applyBorder="1"/>
    <xf numFmtId="165" fontId="0" fillId="0" borderId="27" xfId="0" applyNumberFormat="1" applyBorder="1"/>
    <xf numFmtId="15" fontId="0" fillId="0" borderId="0" xfId="0" applyNumberFormat="1"/>
    <xf numFmtId="14" fontId="0" fillId="4" borderId="0" xfId="0" applyNumberFormat="1" applyFill="1"/>
    <xf numFmtId="165" fontId="0" fillId="4" borderId="0" xfId="0" applyNumberFormat="1" applyFill="1" applyAlignment="1">
      <alignment horizontal="right"/>
    </xf>
    <xf numFmtId="169" fontId="0" fillId="4" borderId="0" xfId="0" applyNumberFormat="1" applyFill="1" applyAlignment="1">
      <alignment horizontal="right"/>
    </xf>
    <xf numFmtId="165" fontId="0" fillId="4" borderId="23" xfId="0" applyNumberFormat="1" applyFill="1" applyBorder="1" applyAlignment="1">
      <alignment horizontal="right" vertical="center"/>
    </xf>
    <xf numFmtId="165" fontId="0" fillId="4" borderId="0" xfId="0" applyNumberFormat="1" applyFill="1"/>
    <xf numFmtId="165" fontId="16" fillId="0" borderId="28" xfId="0" applyNumberFormat="1" applyFont="1" applyBorder="1"/>
    <xf numFmtId="165" fontId="16" fillId="0" borderId="23" xfId="0" applyNumberFormat="1" applyFont="1" applyBorder="1"/>
    <xf numFmtId="165" fontId="17" fillId="0" borderId="28" xfId="0" applyNumberFormat="1" applyFont="1" applyBorder="1"/>
    <xf numFmtId="165" fontId="18" fillId="0" borderId="0" xfId="0" applyNumberFormat="1" applyFont="1"/>
    <xf numFmtId="14" fontId="19" fillId="0" borderId="0" xfId="0" applyNumberFormat="1" applyFont="1" applyAlignment="1">
      <alignment horizontal="center"/>
    </xf>
    <xf numFmtId="14" fontId="14" fillId="0" borderId="0" xfId="0" applyNumberFormat="1" applyFont="1"/>
    <xf numFmtId="0" fontId="14" fillId="0" borderId="0" xfId="0" applyFont="1"/>
    <xf numFmtId="165" fontId="14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165" fontId="14" fillId="0" borderId="23" xfId="0" applyNumberFormat="1" applyFont="1" applyBorder="1" applyAlignment="1">
      <alignment horizontal="right" vertical="center"/>
    </xf>
    <xf numFmtId="0" fontId="7" fillId="5" borderId="12" xfId="1" applyFont="1" applyFill="1" applyBorder="1" applyAlignment="1">
      <alignment horizontal="center" vertical="center"/>
    </xf>
    <xf numFmtId="0" fontId="7" fillId="5" borderId="13" xfId="1" applyFont="1" applyFill="1" applyBorder="1" applyAlignment="1">
      <alignment horizontal="center" vertical="center"/>
    </xf>
    <xf numFmtId="0" fontId="7" fillId="5" borderId="15" xfId="1" applyFont="1" applyFill="1" applyBorder="1" applyAlignment="1">
      <alignment horizontal="center" vertical="center"/>
    </xf>
    <xf numFmtId="0" fontId="7" fillId="5" borderId="16" xfId="1" applyFont="1" applyFill="1" applyBorder="1" applyAlignment="1">
      <alignment horizontal="center" vertical="center"/>
    </xf>
    <xf numFmtId="0" fontId="8" fillId="5" borderId="12" xfId="1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  <xf numFmtId="0" fontId="8" fillId="5" borderId="16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52">
    <dxf>
      <numFmt numFmtId="171" formatCode="dd/mm/yyyy"/>
      <alignment horizontal="center" vertical="bottom" textRotation="0" wrapText="0" indent="0" justifyLastLine="0" shrinkToFit="0" readingOrder="0"/>
    </dxf>
    <dxf>
      <numFmt numFmtId="168" formatCode="&quot;£&quot;#,##0.00"/>
      <alignment horizontal="center" vertical="bottom" textRotation="0" wrapText="0" indent="0" justifyLastLine="0" shrinkToFit="0" readingOrder="0"/>
    </dxf>
    <dxf>
      <numFmt numFmtId="166" formatCode="dd/mm/yyyy;@"/>
      <alignment horizontal="center" vertical="bottom" textRotation="0" wrapText="0" indent="0" justifyLastLine="0" shrinkToFit="0" readingOrder="0"/>
    </dxf>
    <dxf>
      <numFmt numFmtId="165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numFmt numFmtId="165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numFmt numFmtId="165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numFmt numFmtId="165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font>
        <color rgb="FF000000"/>
      </font>
      <numFmt numFmtId="0" formatCode="General"/>
    </dxf>
    <dxf>
      <numFmt numFmtId="168" formatCode="&quot;£&quot;#,##0.0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numFmt numFmtId="168" formatCode="&quot;£&quot;#,##0.00"/>
      <alignment horizontal="right"/>
    </dxf>
    <dxf>
      <alignment horizontal="center"/>
    </dxf>
    <dxf>
      <font>
        <b/>
        <color theme="0"/>
      </font>
      <numFmt numFmtId="168" formatCode="&quot;£&quot;#,##0.00"/>
      <fill>
        <patternFill patternType="solid">
          <fgColor indexed="64"/>
          <bgColor theme="1"/>
        </patternFill>
      </fill>
      <alignment horizontal="center"/>
    </dxf>
    <dxf>
      <numFmt numFmtId="171" formatCode="dd/mm/yyyy"/>
      <alignment horizontal="center"/>
    </dxf>
    <dxf>
      <font>
        <b/>
        <color rgb="FFFF0000"/>
      </font>
      <numFmt numFmtId="168" formatCode="&quot;£&quot;#,##0.00"/>
      <alignment horizontal="right"/>
    </dxf>
    <dxf>
      <numFmt numFmtId="168" formatCode="&quot;£&quot;#,##0.00"/>
      <alignment horizontal="center"/>
    </dxf>
    <dxf>
      <numFmt numFmtId="168" formatCode="&quot;£&quot;#,##0.00"/>
      <alignment horizontal="center"/>
    </dxf>
    <dxf>
      <numFmt numFmtId="168" formatCode="&quot;£&quot;#,##0.00"/>
      <alignment horizontal="center"/>
    </dxf>
    <dxf>
      <numFmt numFmtId="168" formatCode="&quot;£&quot;#,##0.00"/>
      <alignment horizontal="center"/>
    </dxf>
    <dxf>
      <numFmt numFmtId="171" formatCode="dd/mm/yyyy"/>
    </dxf>
    <dxf>
      <numFmt numFmtId="171" formatCode="dd/mm/yyyy"/>
    </dxf>
    <dxf>
      <border>
        <left style="medium">
          <color rgb="FF000000"/>
        </left>
      </border>
    </dxf>
    <dxf>
      <numFmt numFmtId="171" formatCode="dd/mm/yyyy"/>
      <border diagonalUp="0" diagonalDown="0">
        <left/>
        <right style="medium">
          <color rgb="FF000000"/>
        </right>
        <top/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border>
        <left style="medium">
          <color rgb="FF000000"/>
        </left>
        <right style="medium">
          <color rgb="FF000000"/>
        </right>
      </border>
    </dxf>
    <dxf>
      <font>
        <color theme="2"/>
      </font>
    </dxf>
    <dxf>
      <font>
        <color theme="2"/>
      </font>
      <numFmt numFmtId="165" formatCode="_-&quot;£&quot;* #,##0.00_-;\-&quot;£&quot;* #,##0.00_-;_-&quot;£&quot;* &quot;-&quot;??_-;_-@_-"/>
      <border>
        <left style="medium">
          <color rgb="FF000000"/>
        </left>
      </border>
    </dxf>
    <dxf>
      <font>
        <color rgb="FF000000"/>
      </font>
    </dxf>
    <dxf>
      <font>
        <color rgb="FF000000"/>
      </font>
      <alignment horizontal="center"/>
      <border diagonalUp="0" diagonalDown="0">
        <left/>
        <right style="medium">
          <color rgb="FF000000"/>
        </right>
        <top/>
        <bottom/>
        <vertical/>
        <horizontal/>
      </border>
    </dxf>
    <dxf>
      <font>
        <color rgb="FF000000"/>
      </font>
      <numFmt numFmtId="165" formatCode="_-&quot;£&quot;* #,##0.00_-;\-&quot;£&quot;* #,##0.00_-;_-&quot;£&quot;* &quot;-&quot;??_-;_-@_-"/>
    </dxf>
    <dxf>
      <font>
        <color rgb="FF000000"/>
      </font>
      <numFmt numFmtId="165" formatCode="_-&quot;£&quot;* #,##0.00_-;\-&quot;£&quot;* #,##0.00_-;_-&quot;£&quot;* &quot;-&quot;??_-;_-@_-"/>
    </dxf>
    <dxf>
      <font>
        <color rgb="FF000000"/>
      </font>
      <numFmt numFmtId="171" formatCode="dd/mm/yyyy"/>
    </dxf>
    <dxf>
      <font>
        <color rgb="FF000000"/>
      </font>
      <numFmt numFmtId="171" formatCode="dd/mm/yyyy"/>
      <alignment horizontal="center" vertical="bottom" textRotation="0" wrapText="0" indent="0" justifyLastLine="0" shrinkToFit="0" readingOrder="0"/>
    </dxf>
    <dxf>
      <font>
        <color rgb="FF000000"/>
      </font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font>
        <color rgb="FF000000"/>
      </font>
      <numFmt numFmtId="166" formatCode="dd/mm/yyyy;@"/>
      <alignment horizontal="left" vertical="bottom" textRotation="0" wrapText="0" indent="0" justifyLastLine="0" shrinkToFit="0" readingOrder="0"/>
    </dxf>
    <dxf>
      <font>
        <color rgb="FF000000"/>
      </font>
      <numFmt numFmtId="166" formatCode="dd/mm/yyyy;@"/>
    </dxf>
    <dxf>
      <font>
        <color rgb="FF000000"/>
      </font>
      <numFmt numFmtId="171" formatCode="dd/mm/yyyy"/>
    </dxf>
    <dxf>
      <font>
        <color rgb="FF000000"/>
      </font>
    </dxf>
    <dxf>
      <font>
        <color rgb="FF000000"/>
      </font>
      <alignment horizontal="center" vertical="center" textRotation="0" wrapText="0" indent="0" justifyLastLine="0" shrinkToFit="0" readingOrder="0"/>
    </dxf>
    <dxf>
      <font>
        <color rgb="FF000000"/>
      </font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font>
        <color rgb="FF000000"/>
      </font>
    </dxf>
    <dxf>
      <border outline="0">
        <left style="medium">
          <color rgb="FF000000"/>
        </left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ont>
        <color theme="0"/>
      </font>
      <fill>
        <patternFill patternType="solid">
          <bgColor theme="8"/>
        </patternFill>
      </fill>
    </dxf>
    <dxf>
      <font>
        <color rgb="FF9C0006"/>
      </font>
      <fill>
        <patternFill patternType="solid">
          <bgColor theme="8" tint="0.79998168889431442"/>
        </patternFill>
      </fill>
    </dxf>
    <dxf>
      <numFmt numFmtId="168" formatCode="&quot;£&quot;#,##0.00"/>
    </dxf>
  </dxfs>
  <tableStyles count="0" defaultTableStyle="TableStyleMedium2" defaultPivotStyle="PivotStyleMedium9"/>
  <colors>
    <mruColors>
      <color rgb="FFFFB300"/>
      <color rgb="FF83E6D3"/>
      <color rgb="FF00B090"/>
      <color rgb="FFF5BFCC"/>
      <color rgb="FFFF5E00"/>
      <color rgb="FF00F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Tickets Sold (per PNR)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Tickets Sold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Settings!$B$3:$B$14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Settings!$C$3:$C$14</c:f>
              <c:numCache>
                <c:formatCode>General</c:formatCode>
                <c:ptCount val="12"/>
                <c:pt idx="0">
                  <c:v>21</c:v>
                </c:pt>
                <c:pt idx="1">
                  <c:v>17</c:v>
                </c:pt>
                <c:pt idx="2">
                  <c:v>16</c:v>
                </c:pt>
                <c:pt idx="3">
                  <c:v>28</c:v>
                </c:pt>
                <c:pt idx="4">
                  <c:v>17</c:v>
                </c:pt>
                <c:pt idx="5">
                  <c:v>24</c:v>
                </c:pt>
                <c:pt idx="6">
                  <c:v>20</c:v>
                </c:pt>
                <c:pt idx="7">
                  <c:v>27</c:v>
                </c:pt>
                <c:pt idx="8">
                  <c:v>28</c:v>
                </c:pt>
                <c:pt idx="9">
                  <c:v>41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4D-4604-A9E3-6BE204213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857224"/>
        <c:axId val="1030860296"/>
      </c:lineChart>
      <c:catAx>
        <c:axId val="1030857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60296"/>
        <c:crosses val="autoZero"/>
        <c:auto val="1"/>
        <c:lblAlgn val="ctr"/>
        <c:lblOffset val="100"/>
        <c:noMultiLvlLbl val="0"/>
      </c:catAx>
      <c:valAx>
        <c:axId val="103086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5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[Rida 2025.xlsx]Settings!PivotTable5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Settings!$F$2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Settings!$E$3:$E$15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Settings!$F$3:$F$15</c:f>
              <c:numCache>
                <c:formatCode>General</c:formatCode>
                <c:ptCount val="12"/>
                <c:pt idx="0">
                  <c:v>2571.4899999999989</c:v>
                </c:pt>
                <c:pt idx="1">
                  <c:v>-633.0999999999998</c:v>
                </c:pt>
                <c:pt idx="2">
                  <c:v>2129.9500000000007</c:v>
                </c:pt>
                <c:pt idx="3">
                  <c:v>3197.08</c:v>
                </c:pt>
                <c:pt idx="4">
                  <c:v>-103.86000000000016</c:v>
                </c:pt>
                <c:pt idx="5">
                  <c:v>1716.8300000000004</c:v>
                </c:pt>
                <c:pt idx="6">
                  <c:v>404.62000000000046</c:v>
                </c:pt>
                <c:pt idx="7">
                  <c:v>-781.00000000000011</c:v>
                </c:pt>
                <c:pt idx="8">
                  <c:v>2021.92</c:v>
                </c:pt>
                <c:pt idx="9">
                  <c:v>6450.880000000001</c:v>
                </c:pt>
                <c:pt idx="10">
                  <c:v>413.52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6C-4419-8E52-68433F92C24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89352456"/>
        <c:axId val="1589367304"/>
      </c:lineChart>
      <c:catAx>
        <c:axId val="1589352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67304"/>
        <c:crosses val="autoZero"/>
        <c:auto val="1"/>
        <c:lblAlgn val="ctr"/>
        <c:lblOffset val="100"/>
        <c:noMultiLvlLbl val="0"/>
      </c:catAx>
      <c:valAx>
        <c:axId val="158936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52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[Rida 2025.xlsx]Settings!PivotTable2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Tickets Sold (per pax)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Settings!$I$2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Settings!$H$3:$H$15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Settings!$I$3:$I$15</c:f>
              <c:numCache>
                <c:formatCode>General</c:formatCode>
                <c:ptCount val="12"/>
                <c:pt idx="0">
                  <c:v>27</c:v>
                </c:pt>
                <c:pt idx="1">
                  <c:v>20</c:v>
                </c:pt>
                <c:pt idx="2">
                  <c:v>21</c:v>
                </c:pt>
                <c:pt idx="3">
                  <c:v>23</c:v>
                </c:pt>
                <c:pt idx="4">
                  <c:v>15</c:v>
                </c:pt>
                <c:pt idx="5">
                  <c:v>40</c:v>
                </c:pt>
                <c:pt idx="6">
                  <c:v>30</c:v>
                </c:pt>
                <c:pt idx="7">
                  <c:v>44</c:v>
                </c:pt>
                <c:pt idx="8">
                  <c:v>28</c:v>
                </c:pt>
                <c:pt idx="9">
                  <c:v>48</c:v>
                </c:pt>
                <c:pt idx="10">
                  <c:v>10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6E-4821-A625-08586BE52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004551"/>
        <c:axId val="2035278856"/>
      </c:lineChart>
      <c:catAx>
        <c:axId val="297004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278856"/>
        <c:crosses val="autoZero"/>
        <c:auto val="1"/>
        <c:lblAlgn val="ctr"/>
        <c:lblOffset val="100"/>
        <c:noMultiLvlLbl val="0"/>
      </c:catAx>
      <c:valAx>
        <c:axId val="203527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Tickets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04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[Rida 2025.xlsx]Settings!PivotTable3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Settings!$F$19</c:f>
              <c:strCache>
                <c:ptCount val="1"/>
                <c:pt idx="0">
                  <c:v>Sum of Fare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Settings!$E$20:$E$32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Settings!$F$20:$F$32</c:f>
              <c:numCache>
                <c:formatCode>General</c:formatCode>
                <c:ptCount val="12"/>
                <c:pt idx="0">
                  <c:v>24420.510000000002</c:v>
                </c:pt>
                <c:pt idx="1">
                  <c:v>18433.099999999995</c:v>
                </c:pt>
                <c:pt idx="2">
                  <c:v>20546.049999999996</c:v>
                </c:pt>
                <c:pt idx="3">
                  <c:v>32283.81</c:v>
                </c:pt>
                <c:pt idx="4">
                  <c:v>13748.86</c:v>
                </c:pt>
                <c:pt idx="5">
                  <c:v>26633.17</c:v>
                </c:pt>
                <c:pt idx="6">
                  <c:v>22300.38</c:v>
                </c:pt>
                <c:pt idx="7">
                  <c:v>28529.999999999996</c:v>
                </c:pt>
                <c:pt idx="8">
                  <c:v>18363.72</c:v>
                </c:pt>
                <c:pt idx="9">
                  <c:v>37572.600000000006</c:v>
                </c:pt>
                <c:pt idx="10">
                  <c:v>3391.48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2B-4ADF-99FD-5580509F693E}"/>
            </c:ext>
          </c:extLst>
        </c:ser>
        <c:ser>
          <c:idx val="1"/>
          <c:order val="1"/>
          <c:tx>
            <c:strRef>
              <c:f>Settings!$G$19</c:f>
              <c:strCache>
                <c:ptCount val="1"/>
                <c:pt idx="0">
                  <c:v>Sum of Sale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Settings!$E$20:$E$32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Settings!$G$20:$G$32</c:f>
              <c:numCache>
                <c:formatCode>General</c:formatCode>
                <c:ptCount val="12"/>
                <c:pt idx="0">
                  <c:v>26992</c:v>
                </c:pt>
                <c:pt idx="1">
                  <c:v>17800</c:v>
                </c:pt>
                <c:pt idx="2">
                  <c:v>22676</c:v>
                </c:pt>
                <c:pt idx="3">
                  <c:v>35480.89</c:v>
                </c:pt>
                <c:pt idx="4">
                  <c:v>13645</c:v>
                </c:pt>
                <c:pt idx="5">
                  <c:v>28350</c:v>
                </c:pt>
                <c:pt idx="6">
                  <c:v>22705</c:v>
                </c:pt>
                <c:pt idx="7">
                  <c:v>27749</c:v>
                </c:pt>
                <c:pt idx="8">
                  <c:v>20385.64</c:v>
                </c:pt>
                <c:pt idx="9">
                  <c:v>44023.479999999996</c:v>
                </c:pt>
                <c:pt idx="10">
                  <c:v>3805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2B-4ADF-99FD-5580509F693E}"/>
            </c:ext>
          </c:extLst>
        </c:ser>
        <c:ser>
          <c:idx val="2"/>
          <c:order val="2"/>
          <c:tx>
            <c:strRef>
              <c:f>Settings!$H$19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Settings!$E$20:$E$32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Settings!$H$20:$H$32</c:f>
              <c:numCache>
                <c:formatCode>General</c:formatCode>
                <c:ptCount val="12"/>
                <c:pt idx="0">
                  <c:v>2571.4899999999989</c:v>
                </c:pt>
                <c:pt idx="1">
                  <c:v>-633.0999999999998</c:v>
                </c:pt>
                <c:pt idx="2">
                  <c:v>2129.9500000000007</c:v>
                </c:pt>
                <c:pt idx="3">
                  <c:v>3197.08</c:v>
                </c:pt>
                <c:pt idx="4">
                  <c:v>-103.86000000000016</c:v>
                </c:pt>
                <c:pt idx="5">
                  <c:v>1716.8300000000004</c:v>
                </c:pt>
                <c:pt idx="6">
                  <c:v>404.62000000000046</c:v>
                </c:pt>
                <c:pt idx="7">
                  <c:v>-781.00000000000011</c:v>
                </c:pt>
                <c:pt idx="8">
                  <c:v>2021.92</c:v>
                </c:pt>
                <c:pt idx="9">
                  <c:v>6450.880000000001</c:v>
                </c:pt>
                <c:pt idx="10">
                  <c:v>413.52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2B-4ADF-99FD-5580509F6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4506376"/>
        <c:axId val="371606024"/>
      </c:barChart>
      <c:catAx>
        <c:axId val="6645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06024"/>
        <c:crosses val="autoZero"/>
        <c:auto val="1"/>
        <c:lblAlgn val="ctr"/>
        <c:lblOffset val="100"/>
        <c:noMultiLvlLbl val="0"/>
      </c:catAx>
      <c:valAx>
        <c:axId val="3716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Commission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£5 Com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Settings!$J$3:$J$14</c:f>
              <c:numCache>
                <c:formatCode>General</c:formatCode>
                <c:ptCount val="12"/>
                <c:pt idx="0">
                  <c:v>135</c:v>
                </c:pt>
                <c:pt idx="1">
                  <c:v>100</c:v>
                </c:pt>
                <c:pt idx="2">
                  <c:v>105</c:v>
                </c:pt>
                <c:pt idx="3">
                  <c:v>115</c:v>
                </c:pt>
                <c:pt idx="4">
                  <c:v>75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140</c:v>
                </c:pt>
                <c:pt idx="9">
                  <c:v>150</c:v>
                </c:pt>
                <c:pt idx="10">
                  <c:v>50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3A-425E-ABC9-9B3CB0EAD0D0}"/>
            </c:ext>
          </c:extLst>
        </c:ser>
        <c:ser>
          <c:idx val="1"/>
          <c:order val="1"/>
          <c:tx>
            <c:v>10% Com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Settings!$N$3:$N$14</c:f>
              <c:numCache>
                <c:formatCode>"£"#,##0.00</c:formatCode>
                <c:ptCount val="12"/>
                <c:pt idx="0">
                  <c:v>7.2</c:v>
                </c:pt>
                <c:pt idx="1">
                  <c:v>0</c:v>
                </c:pt>
                <c:pt idx="2">
                  <c:v>4.1500000000000004</c:v>
                </c:pt>
                <c:pt idx="3">
                  <c:v>5.5399999999999983</c:v>
                </c:pt>
                <c:pt idx="4">
                  <c:v>7</c:v>
                </c:pt>
                <c:pt idx="5">
                  <c:v>0</c:v>
                </c:pt>
                <c:pt idx="6">
                  <c:v>23.149999999999977</c:v>
                </c:pt>
                <c:pt idx="7">
                  <c:v>130.5</c:v>
                </c:pt>
                <c:pt idx="8">
                  <c:v>143.40000000000003</c:v>
                </c:pt>
                <c:pt idx="9">
                  <c:v>234.14999999999992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3A-425E-ABC9-9B3CB0EAD0D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538568"/>
        <c:axId val="105540616"/>
      </c:lineChart>
      <c:catAx>
        <c:axId val="105538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0616"/>
        <c:crosses val="autoZero"/>
        <c:auto val="1"/>
        <c:lblAlgn val="ctr"/>
        <c:lblOffset val="100"/>
        <c:noMultiLvlLbl val="0"/>
      </c:catAx>
      <c:valAx>
        <c:axId val="10554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Settings!$K$19</c:f>
              <c:strCache>
                <c:ptCount val="1"/>
                <c:pt idx="0">
                  <c:v>Total Commission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Settings!$J$20:$J$31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Settings!$K$20:$K$31</c:f>
              <c:numCache>
                <c:formatCode>"£"#,##0.00</c:formatCode>
                <c:ptCount val="12"/>
                <c:pt idx="0">
                  <c:v>142.19999999999999</c:v>
                </c:pt>
                <c:pt idx="1">
                  <c:v>100</c:v>
                </c:pt>
                <c:pt idx="2">
                  <c:v>109.15</c:v>
                </c:pt>
                <c:pt idx="3">
                  <c:v>120.53999999999999</c:v>
                </c:pt>
                <c:pt idx="4">
                  <c:v>82</c:v>
                </c:pt>
                <c:pt idx="5">
                  <c:v>250</c:v>
                </c:pt>
                <c:pt idx="6">
                  <c:v>257.09899999999993</c:v>
                </c:pt>
                <c:pt idx="7">
                  <c:v>420.5</c:v>
                </c:pt>
                <c:pt idx="8">
                  <c:v>283.40000000000003</c:v>
                </c:pt>
                <c:pt idx="9">
                  <c:v>564.14999999999986</c:v>
                </c:pt>
                <c:pt idx="10">
                  <c:v>50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B1-4E81-8130-5C32AB51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628744"/>
        <c:axId val="1228932616"/>
      </c:lineChart>
      <c:catAx>
        <c:axId val="120062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932616"/>
        <c:crosses val="autoZero"/>
        <c:auto val="1"/>
        <c:lblAlgn val="ctr"/>
        <c:lblOffset val="100"/>
        <c:noMultiLvlLbl val="0"/>
      </c:catAx>
      <c:valAx>
        <c:axId val="122893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2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8</xdr:col>
      <xdr:colOff>590550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7F161-1E10-9D59-8CBC-F7B4F57E2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19050</xdr:rowOff>
    </xdr:from>
    <xdr:to>
      <xdr:col>8</xdr:col>
      <xdr:colOff>590550</xdr:colOff>
      <xdr:row>31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3B1039-45D1-0909-09B5-2F4B3FA11133}"/>
            </a:ext>
            <a:ext uri="{147F2762-F138-4A5C-976F-8EAC2B608ADB}">
              <a16:predDERef xmlns:a16="http://schemas.microsoft.com/office/drawing/2014/main" pred="{CF67F161-1E10-9D59-8CBC-F7B4F57E2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</xdr:colOff>
      <xdr:row>1</xdr:row>
      <xdr:rowOff>9525</xdr:rowOff>
    </xdr:from>
    <xdr:to>
      <xdr:col>17</xdr:col>
      <xdr:colOff>581025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4B00C3-E6C4-351D-4081-9D80D3012E1F}"/>
            </a:ext>
            <a:ext uri="{147F2762-F138-4A5C-976F-8EAC2B608ADB}">
              <a16:predDERef xmlns:a16="http://schemas.microsoft.com/office/drawing/2014/main" pred="{623B1039-45D1-0909-09B5-2F4B3FA11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</xdr:colOff>
      <xdr:row>17</xdr:row>
      <xdr:rowOff>0</xdr:rowOff>
    </xdr:from>
    <xdr:to>
      <xdr:col>17</xdr:col>
      <xdr:colOff>581025</xdr:colOff>
      <xdr:row>31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9E7AC7-C9FD-269F-2F4F-70F46A5B0080}"/>
            </a:ext>
            <a:ext uri="{147F2762-F138-4A5C-976F-8EAC2B608ADB}">
              <a16:predDERef xmlns:a16="http://schemas.microsoft.com/office/drawing/2014/main" pred="{2D4B00C3-E6C4-351D-4081-9D80D3012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33</xdr:row>
      <xdr:rowOff>9525</xdr:rowOff>
    </xdr:from>
    <xdr:to>
      <xdr:col>8</xdr:col>
      <xdr:colOff>561975</xdr:colOff>
      <xdr:row>48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24F8D4-622A-2107-8B8C-CC81339E78AC}"/>
            </a:ext>
            <a:ext uri="{147F2762-F138-4A5C-976F-8EAC2B608ADB}">
              <a16:predDERef xmlns:a16="http://schemas.microsoft.com/office/drawing/2014/main" pred="{AB9E7AC7-C9FD-269F-2F4F-70F46A5B0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19050</xdr:colOff>
      <xdr:row>33</xdr:row>
      <xdr:rowOff>9525</xdr:rowOff>
    </xdr:from>
    <xdr:to>
      <xdr:col>17</xdr:col>
      <xdr:colOff>571500</xdr:colOff>
      <xdr:row>48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6D5835-4A89-B1C5-1528-B6684470BED7}"/>
            </a:ext>
            <a:ext uri="{147F2762-F138-4A5C-976F-8EAC2B608ADB}">
              <a16:predDERef xmlns:a16="http://schemas.microsoft.com/office/drawing/2014/main" pred="{A224F8D4-622A-2107-8B8C-CC81339E7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02.745009027778" createdVersion="8" refreshedVersion="8" minRefreshableVersion="3" recordCount="27" xr:uid="{3D0E3CA3-82AC-43CB-941F-DC29621676F7}">
  <cacheSource type="worksheet">
    <worksheetSource ref="A1:Q28" sheet="Umrah"/>
  </cacheSource>
  <cacheFields count="17">
    <cacheField name="Issue Date" numFmtId="0">
      <sharedItems containsNonDate="0" containsDate="1" containsString="0" containsBlank="1" minDate="2025-01-01T00:00:00" maxDate="2025-12-02T00:00:00"/>
    </cacheField>
    <cacheField name="Customer Name" numFmtId="0">
      <sharedItems containsBlank="1"/>
    </cacheField>
    <cacheField name="PNR" numFmtId="0">
      <sharedItems containsBlank="1"/>
    </cacheField>
    <cacheField name="Departure Date" numFmtId="14">
      <sharedItems containsDate="1" containsBlank="1" containsMixedTypes="1" minDate="2025-08-15T00:00:00" maxDate="2025-10-22T00:00:00"/>
    </cacheField>
    <cacheField name="Return Date" numFmtId="14">
      <sharedItems containsDate="1" containsBlank="1" containsMixedTypes="1" minDate="2025-09-16T00:00:00" maxDate="2026-05-12T00:00:00"/>
    </cacheField>
    <cacheField name="Ticket (£)" numFmtId="0">
      <sharedItems containsString="0" containsBlank="1" containsNumber="1" minValue="0" maxValue="4561.92"/>
    </cacheField>
    <cacheField name="Hotel (£)" numFmtId="0">
      <sharedItems containsString="0" containsBlank="1" containsNumber="1" minValue="0" maxValue="2002.31"/>
    </cacheField>
    <cacheField name="Transport (£)" numFmtId="0">
      <sharedItems containsString="0" containsBlank="1" containsNumber="1" minValue="0" maxValue="325"/>
    </cacheField>
    <cacheField name="Visa (£)" numFmtId="0">
      <sharedItems containsString="0" containsBlank="1" containsNumber="1" minValue="0" maxValue="525"/>
    </cacheField>
    <cacheField name="Net Cost" numFmtId="0">
      <sharedItems containsString="0" containsBlank="1" containsNumber="1" minValue="0" maxValue="7232.23"/>
    </cacheField>
    <cacheField name="Payment Date" numFmtId="14">
      <sharedItems containsNonDate="0" containsDate="1" containsString="0" containsBlank="1" minDate="2025-07-01T00:00:00" maxDate="2025-09-06T00:00:00"/>
    </cacheField>
    <cacheField name="Sale cost" numFmtId="0">
      <sharedItems containsString="0" containsBlank="1" containsNumber="1" containsInteger="1" minValue="0" maxValue="7670"/>
    </cacheField>
    <cacheField name="Paid? (X)" numFmtId="0">
      <sharedItems containsBlank="1"/>
    </cacheField>
    <cacheField name="Profit" numFmtId="168">
      <sharedItems containsSemiMixedTypes="0" containsString="0" containsNumber="1" minValue="-113.78999999999999" maxValue="3334.7400000000002"/>
    </cacheField>
    <cacheField name="Notes" numFmtId="0">
      <sharedItems containsBlank="1"/>
    </cacheField>
    <cacheField name="Com" numFmtId="168">
      <sharedItems containsSemiMixedTypes="0" containsString="0" containsNumber="1" minValue="0" maxValue="83.948999999999984"/>
    </cacheField>
    <cacheField name="Month" numFmtId="0">
      <sharedItems containsString="0" containsBlank="1" containsNumber="1" containsInteger="1" minValue="1" maxValue="12" count="13">
        <n v="1"/>
        <n v="7"/>
        <n v="8"/>
        <n v="2"/>
        <n v="3"/>
        <n v="4"/>
        <n v="5"/>
        <n v="6"/>
        <n v="9"/>
        <n v="10"/>
        <n v="11"/>
        <n v="1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9.773080671293" createdVersion="8" refreshedVersion="8" minRefreshableVersion="3" recordCount="28" xr:uid="{4EC2E06D-BA10-40F0-83AB-E8C57933AD30}">
  <cacheSource type="worksheet">
    <worksheetSource ref="B1:H35" sheet="Low Fare"/>
  </cacheSource>
  <cacheFields count="7">
    <cacheField name="PNR" numFmtId="0">
      <sharedItems containsBlank="1"/>
    </cacheField>
    <cacheField name="Original Fare" numFmtId="0">
      <sharedItems containsString="0" containsBlank="1" containsNumber="1" minValue="485.02" maxValue="1383.08"/>
    </cacheField>
    <cacheField name="New Lower Fare" numFmtId="0">
      <sharedItems containsString="0" containsBlank="1" containsNumber="1" minValue="470.12" maxValue="1192.52"/>
    </cacheField>
    <cacheField name="Difference" numFmtId="165">
      <sharedItems containsString="0" containsBlank="1" containsNumber="1" minValue="0" maxValue="229"/>
    </cacheField>
    <cacheField name="Date" numFmtId="166">
      <sharedItems containsSemiMixedTypes="0" containsNonDate="0" containsDate="1" containsString="0" minDate="2025-01-20T00:00:00" maxDate="2025-12-02T00:00:00"/>
    </cacheField>
    <cacheField name="10%" numFmtId="168">
      <sharedItems containsSemiMixedTypes="0" containsString="0" containsNumber="1" minValue="0" maxValue="114.5"/>
    </cacheField>
    <cacheField name="Month" numFmtId="0">
      <sharedItems containsSemiMixedTypes="0" containsString="0" containsNumber="1" containsInteger="1" minValue="1" maxValue="12" count="12">
        <n v="1"/>
        <n v="3"/>
        <n v="4"/>
        <n v="5"/>
        <n v="7"/>
        <n v="8"/>
        <n v="9"/>
        <n v="10"/>
        <n v="2"/>
        <n v="6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63.708127662037" createdVersion="8" refreshedVersion="8" minRefreshableVersion="3" recordCount="344" xr:uid="{D113ACAC-8D26-41C7-BF70-864964987341}">
  <cacheSource type="worksheet">
    <worksheetSource ref="B1:Q345" sheet="Ledger"/>
  </cacheSource>
  <cacheFields count="16">
    <cacheField name="Customer Name" numFmtId="0">
      <sharedItems containsBlank="1"/>
    </cacheField>
    <cacheField name="PNR" numFmtId="0">
      <sharedItems containsBlank="1"/>
    </cacheField>
    <cacheField name="Airline" numFmtId="0">
      <sharedItems containsBlank="1"/>
    </cacheField>
    <cacheField name="Departure Date" numFmtId="166">
      <sharedItems containsNonDate="0" containsDate="1" containsString="0" containsBlank="1" minDate="2025-01-01T00:00:00" maxDate="2026-08-01T00:00:00"/>
    </cacheField>
    <cacheField name="Return Date" numFmtId="14">
      <sharedItems containsNonDate="0" containsDate="1" containsString="0" containsBlank="1" minDate="2025-01-05T00:00:00" maxDate="2026-09-07T00:00:00"/>
    </cacheField>
    <cacheField name="Booking Deadline" numFmtId="0">
      <sharedItems containsNonDate="0" containsString="0" containsBlank="1"/>
    </cacheField>
    <cacheField name="D. Time" numFmtId="0">
      <sharedItems containsNonDate="0" containsString="0" containsBlank="1"/>
    </cacheField>
    <cacheField name="Paid? (X)" numFmtId="0">
      <sharedItems containsMixedTypes="1" containsNumber="1" containsInteger="1" minValue="220" maxValue="240"/>
    </cacheField>
    <cacheField name="Issued date" numFmtId="14">
      <sharedItems containsNonDate="0" containsDate="1" containsString="0" containsBlank="1" minDate="2025-01-03T00:00:00" maxDate="2027-01-01T00:00:00"/>
    </cacheField>
    <cacheField name="Type" numFmtId="0">
      <sharedItems containsBlank="1"/>
    </cacheField>
    <cacheField name="Fare Cost" numFmtId="0">
      <sharedItems containsString="0" containsBlank="1" containsNumber="1" minValue="0" maxValue="17710.28"/>
    </cacheField>
    <cacheField name="Sale Cost" numFmtId="165">
      <sharedItems containsString="0" containsBlank="1" containsNumber="1" minValue="0" maxValue="6832.78"/>
    </cacheField>
    <cacheField name="Contact Number (W or T)" numFmtId="0">
      <sharedItems containsBlank="1"/>
    </cacheField>
    <cacheField name="Total Pax" numFmtId="0">
      <sharedItems containsString="0" containsBlank="1" containsNumber="1" minValue="0" maxValue="9"/>
    </cacheField>
    <cacheField name="profit" numFmtId="165">
      <sharedItems containsSemiMixedTypes="0" containsString="0" containsNumber="1" minValue="-17710.28" maxValue="1347.72"/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m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d v="2025-01-01T00:00:00"/>
    <m/>
    <m/>
    <m/>
    <m/>
    <n v="0"/>
    <n v="0"/>
    <n v="0"/>
    <n v="0"/>
    <n v="0"/>
    <m/>
    <n v="0"/>
    <m/>
    <n v="0"/>
    <m/>
    <n v="0"/>
    <x v="0"/>
  </r>
  <r>
    <d v="2025-07-01T00:00:00"/>
    <s v="Sajid Hussain"/>
    <s v="FQKGNI"/>
    <d v="2025-10-03T00:00:00"/>
    <d v="2025-10-10T00:00:00"/>
    <n v="2398.1"/>
    <n v="741.41000000000008"/>
    <n v="221"/>
    <n v="225"/>
    <n v="3585.51"/>
    <d v="2025-07-01T00:00:00"/>
    <n v="4425"/>
    <s v="X"/>
    <n v="839.48999999999978"/>
    <s v="Issued by Hussaini"/>
    <n v="83.948999999999984"/>
    <x v="1"/>
  </r>
  <r>
    <d v="2025-08-01T00:00:00"/>
    <s v="Abdul Wahid"/>
    <s v="UYNJRK, FJUTUV, MDKBWA"/>
    <s v="27/09/2025, 05/10/2025"/>
    <s v="21/10/2025, 26/11/2025"/>
    <n v="4561.92"/>
    <n v="2002.31"/>
    <n v="278"/>
    <n v="390"/>
    <n v="7232.23"/>
    <d v="2025-08-01T00:00:00"/>
    <n v="7670"/>
    <s v="X"/>
    <n v="437.77000000000044"/>
    <s v="£81.92 loss by ticket fare issuance, Saudi Tickets issued by Rida, Rest issued by Hussaini"/>
    <n v="0"/>
    <x v="2"/>
  </r>
  <r>
    <d v="2025-08-02T00:00:00"/>
    <s v="Muhammad Hanif"/>
    <s v="UYSMOE, QROVMG"/>
    <s v="27/09/2025, 05/10/2025"/>
    <d v="2026-05-11T00:00:00"/>
    <n v="682.02"/>
    <n v="659.19"/>
    <n v="0"/>
    <n v="65"/>
    <n v="1406.21"/>
    <m/>
    <n v="1635"/>
    <s v="X"/>
    <n v="228.78999999999996"/>
    <s v="Tickets x1 £5"/>
    <n v="0"/>
    <x v="2"/>
  </r>
  <r>
    <d v="2025-08-05T00:00:00"/>
    <s v="Syed Ali Nasir"/>
    <s v="SHQMOO"/>
    <d v="2025-10-21T00:00:00"/>
    <d v="2025-10-31T00:00:00"/>
    <n v="2565.36"/>
    <n v="1588.97"/>
    <n v="278"/>
    <n v="390"/>
    <n v="4822.33"/>
    <d v="2025-09-05T00:00:00"/>
    <n v="5100"/>
    <m/>
    <n v="277.67000000000007"/>
    <s v="Tickets x6 £5"/>
    <n v="0"/>
    <x v="2"/>
  </r>
  <r>
    <d v="2025-08-07T00:00:00"/>
    <s v="Syed Nasir Ali Shah"/>
    <s v="ASTFDI"/>
    <s v="10/10/2025, 16/10/2025"/>
    <s v="16/10/2025, 15/11/2025"/>
    <n v="3341.3199999999997"/>
    <n v="1358.77"/>
    <n v="278"/>
    <n v="525"/>
    <n v="5503.09"/>
    <d v="2025-08-07T00:00:00"/>
    <n v="5900"/>
    <m/>
    <n v="396.90999999999985"/>
    <s v="Tickets x6 £5"/>
    <n v="0"/>
    <x v="2"/>
  </r>
  <r>
    <d v="2025-08-14T00:00:00"/>
    <s v="Michael Tichaona Manyangadze"/>
    <s v="W95342"/>
    <d v="2025-08-15T00:00:00"/>
    <d v="2025-09-19T00:00:00"/>
    <n v="939.58999999999992"/>
    <n v="1233.1199999999999"/>
    <n v="62.959999999999994"/>
    <n v="0"/>
    <n v="2235.67"/>
    <d v="2025-08-14T00:00:00"/>
    <n v="2750"/>
    <m/>
    <n v="514.32999999999993"/>
    <s v="N/A"/>
    <n v="0"/>
    <x v="2"/>
  </r>
  <r>
    <d v="2025-08-10T00:00:00"/>
    <s v="Naveed Abbas"/>
    <s v="W95327"/>
    <d v="2025-09-11T00:00:00"/>
    <d v="2025-09-16T00:00:00"/>
    <n v="408.26"/>
    <n v="406.69"/>
    <n v="63.7"/>
    <n v="100.76"/>
    <n v="979.41000000000008"/>
    <d v="2025-08-10T00:00:00"/>
    <n v="1240"/>
    <m/>
    <n v="260.58999999999992"/>
    <s v="N/A"/>
    <n v="0"/>
    <x v="2"/>
  </r>
  <r>
    <d v="2025-08-15T00:00:00"/>
    <s v="Rashdaw Anwar"/>
    <m/>
    <m/>
    <m/>
    <n v="2276.52"/>
    <n v="0"/>
    <n v="76"/>
    <n v="160"/>
    <n v="2512.52"/>
    <d v="2025-08-16T00:00:00"/>
    <n v="3000"/>
    <m/>
    <n v="487.48"/>
    <s v="Tickets x6 £5"/>
    <n v="0"/>
    <x v="2"/>
  </r>
  <r>
    <d v="2025-08-18T00:00:00"/>
    <s v="Shazia Khalid"/>
    <m/>
    <m/>
    <m/>
    <n v="0"/>
    <n v="936.91"/>
    <n v="325"/>
    <n v="431"/>
    <n v="1692.9099999999999"/>
    <m/>
    <n v="1915"/>
    <m/>
    <n v="0"/>
    <s v="N/A"/>
    <n v="0"/>
    <x v="2"/>
  </r>
  <r>
    <d v="2025-08-21T00:00:00"/>
    <s v="Misom Zaidi"/>
    <m/>
    <m/>
    <m/>
    <n v="0"/>
    <n v="113.78999999999999"/>
    <n v="0"/>
    <n v="0"/>
    <n v="113.78999999999999"/>
    <m/>
    <n v="0"/>
    <m/>
    <n v="-113.78999999999999"/>
    <s v="N/A"/>
    <n v="0"/>
    <x v="2"/>
  </r>
  <r>
    <d v="2025-08-23T00:00:00"/>
    <s v="Sakhawat Hussain"/>
    <m/>
    <m/>
    <m/>
    <n v="1646.0700000000002"/>
    <n v="564.89"/>
    <n v="300"/>
    <n v="483.54"/>
    <n v="2994.5"/>
    <m/>
    <n v="3000"/>
    <m/>
    <n v="5.5"/>
    <s v="N/A"/>
    <n v="0"/>
    <x v="2"/>
  </r>
  <r>
    <m/>
    <m/>
    <m/>
    <m/>
    <m/>
    <n v="0"/>
    <n v="0"/>
    <n v="0"/>
    <n v="0"/>
    <n v="0"/>
    <m/>
    <n v="0"/>
    <m/>
    <n v="0"/>
    <m/>
    <n v="0"/>
    <x v="0"/>
  </r>
  <r>
    <m/>
    <m/>
    <m/>
    <m/>
    <m/>
    <n v="0"/>
    <n v="0"/>
    <n v="0"/>
    <n v="0"/>
    <n v="0"/>
    <m/>
    <n v="0"/>
    <m/>
    <n v="0"/>
    <m/>
    <n v="0"/>
    <x v="0"/>
  </r>
  <r>
    <m/>
    <m/>
    <m/>
    <m/>
    <m/>
    <n v="0"/>
    <n v="0"/>
    <n v="0"/>
    <n v="0"/>
    <n v="0"/>
    <m/>
    <n v="0"/>
    <m/>
    <n v="0"/>
    <m/>
    <n v="0"/>
    <x v="0"/>
  </r>
  <r>
    <m/>
    <m/>
    <m/>
    <m/>
    <m/>
    <n v="0"/>
    <n v="0"/>
    <n v="0"/>
    <n v="0"/>
    <n v="0"/>
    <m/>
    <n v="0"/>
    <m/>
    <n v="0"/>
    <m/>
    <n v="0"/>
    <x v="0"/>
  </r>
  <r>
    <d v="2025-02-01T00:00:00"/>
    <m/>
    <m/>
    <m/>
    <m/>
    <n v="0"/>
    <n v="0"/>
    <n v="0"/>
    <n v="0"/>
    <n v="0"/>
    <m/>
    <n v="0"/>
    <m/>
    <n v="0"/>
    <m/>
    <n v="0"/>
    <x v="3"/>
  </r>
  <r>
    <d v="2025-03-01T00:00:00"/>
    <m/>
    <m/>
    <m/>
    <m/>
    <n v="0"/>
    <n v="0"/>
    <n v="0"/>
    <n v="0"/>
    <n v="0"/>
    <m/>
    <n v="0"/>
    <m/>
    <n v="0"/>
    <m/>
    <n v="0"/>
    <x v="4"/>
  </r>
  <r>
    <d v="2025-04-01T00:00:00"/>
    <m/>
    <m/>
    <m/>
    <m/>
    <n v="0"/>
    <n v="0"/>
    <n v="0"/>
    <n v="0"/>
    <n v="0"/>
    <m/>
    <n v="0"/>
    <m/>
    <n v="0"/>
    <m/>
    <n v="0"/>
    <x v="5"/>
  </r>
  <r>
    <d v="2025-05-01T00:00:00"/>
    <m/>
    <m/>
    <m/>
    <m/>
    <n v="0"/>
    <n v="0"/>
    <n v="0"/>
    <n v="0"/>
    <n v="0"/>
    <m/>
    <n v="0"/>
    <m/>
    <n v="0"/>
    <m/>
    <n v="0"/>
    <x v="6"/>
  </r>
  <r>
    <d v="2025-06-01T00:00:00"/>
    <m/>
    <m/>
    <m/>
    <m/>
    <n v="0"/>
    <n v="0"/>
    <n v="0"/>
    <n v="0"/>
    <n v="0"/>
    <m/>
    <n v="0"/>
    <m/>
    <n v="0"/>
    <m/>
    <n v="0"/>
    <x v="7"/>
  </r>
  <r>
    <d v="2025-08-01T00:00:00"/>
    <m/>
    <m/>
    <m/>
    <m/>
    <n v="0"/>
    <n v="0"/>
    <n v="0"/>
    <n v="0"/>
    <n v="0"/>
    <m/>
    <n v="0"/>
    <m/>
    <n v="0"/>
    <m/>
    <n v="0"/>
    <x v="2"/>
  </r>
  <r>
    <d v="2025-09-01T00:00:00"/>
    <m/>
    <m/>
    <m/>
    <m/>
    <n v="0"/>
    <n v="0"/>
    <n v="0"/>
    <n v="0"/>
    <n v="0"/>
    <m/>
    <n v="0"/>
    <m/>
    <n v="0"/>
    <m/>
    <n v="0"/>
    <x v="8"/>
  </r>
  <r>
    <d v="2025-10-01T00:00:00"/>
    <m/>
    <m/>
    <m/>
    <m/>
    <n v="0"/>
    <n v="0"/>
    <n v="0"/>
    <n v="0"/>
    <n v="0"/>
    <m/>
    <n v="0"/>
    <m/>
    <n v="0"/>
    <m/>
    <n v="0"/>
    <x v="9"/>
  </r>
  <r>
    <d v="2025-11-01T00:00:00"/>
    <m/>
    <m/>
    <m/>
    <m/>
    <n v="0"/>
    <n v="0"/>
    <n v="0"/>
    <n v="0"/>
    <n v="0"/>
    <m/>
    <n v="0"/>
    <m/>
    <n v="0"/>
    <m/>
    <n v="0"/>
    <x v="10"/>
  </r>
  <r>
    <d v="2025-12-01T00:00:00"/>
    <s v="placeholder"/>
    <m/>
    <m/>
    <m/>
    <n v="0"/>
    <n v="0"/>
    <n v="0"/>
    <n v="0"/>
    <n v="0"/>
    <m/>
    <n v="0"/>
    <m/>
    <n v="0"/>
    <m/>
    <n v="0"/>
    <x v="11"/>
  </r>
  <r>
    <m/>
    <m/>
    <m/>
    <m/>
    <m/>
    <m/>
    <m/>
    <m/>
    <m/>
    <m/>
    <m/>
    <m/>
    <m/>
    <n v="3334.7400000000002"/>
    <m/>
    <n v="0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BAPIE"/>
    <n v="772.02"/>
    <n v="736.02"/>
    <n v="36"/>
    <d v="2025-01-20T00:00:00"/>
    <n v="3.6"/>
    <x v="0"/>
  </r>
  <r>
    <s v="ABAPIE"/>
    <n v="772.02"/>
    <n v="736.02"/>
    <n v="36"/>
    <d v="2025-01-20T00:00:00"/>
    <n v="3.6"/>
    <x v="0"/>
  </r>
  <r>
    <s v="AYUVFW"/>
    <n v="934.92"/>
    <n v="893.42"/>
    <n v="41.5"/>
    <d v="2025-03-31T00:00:00"/>
    <n v="4.1500000000000004"/>
    <x v="1"/>
  </r>
  <r>
    <s v="JUHMCT"/>
    <n v="643.22"/>
    <n v="587.82000000000005"/>
    <n v="55.399999999999977"/>
    <d v="2025-04-09T00:00:00"/>
    <n v="5.5399999999999983"/>
    <x v="2"/>
  </r>
  <r>
    <s v="JEYVQB"/>
    <n v="1112.52"/>
    <n v="1042.52"/>
    <n v="70"/>
    <d v="2025-05-23T00:00:00"/>
    <n v="7"/>
    <x v="3"/>
  </r>
  <r>
    <s v="NZYGDJ"/>
    <n v="1238.82"/>
    <n v="1192.52"/>
    <n v="46.299999999999955"/>
    <d v="2025-07-16T00:00:00"/>
    <n v="23.149999999999977"/>
    <x v="4"/>
  </r>
  <r>
    <s v="SAEBXO"/>
    <n v="1147.42"/>
    <n v="1100.42"/>
    <n v="47"/>
    <d v="2025-08-07T00:00:00"/>
    <n v="23.5"/>
    <x v="5"/>
  </r>
  <r>
    <s v="SAEBXO"/>
    <n v="1147.42"/>
    <n v="1100.42"/>
    <n v="47"/>
    <d v="2025-08-07T00:00:00"/>
    <n v="23.5"/>
    <x v="5"/>
  </r>
  <r>
    <s v="SAEBXO"/>
    <n v="1147.42"/>
    <n v="1100.42"/>
    <n v="47"/>
    <d v="2025-08-07T00:00:00"/>
    <n v="23.5"/>
    <x v="5"/>
  </r>
  <r>
    <s v="GMIUMK"/>
    <n v="703.88"/>
    <n v="583.88"/>
    <n v="120"/>
    <d v="2025-08-28T00:00:00"/>
    <n v="60"/>
    <x v="5"/>
  </r>
  <r>
    <s v="ITZJAH"/>
    <n v="609.62"/>
    <n v="547.22"/>
    <n v="62.399999999999977"/>
    <d v="2025-09-08T00:00:00"/>
    <n v="31.199999999999989"/>
    <x v="6"/>
  </r>
  <r>
    <s v="CDVHFS"/>
    <n v="559.22"/>
    <n v="477.22"/>
    <n v="82"/>
    <d v="2025-09-08T00:00:00"/>
    <n v="41"/>
    <x v="6"/>
  </r>
  <r>
    <s v="CDVHFS"/>
    <n v="559.22"/>
    <n v="477.22"/>
    <n v="82"/>
    <d v="2025-09-08T00:00:00"/>
    <n v="41"/>
    <x v="6"/>
  </r>
  <r>
    <s v="KFNZAK"/>
    <n v="585.32000000000005"/>
    <n v="524.91999999999996"/>
    <n v="60.400000000000091"/>
    <d v="2025-09-13T00:00:00"/>
    <n v="30.200000000000045"/>
    <x v="6"/>
  </r>
  <r>
    <s v="FYTKDR"/>
    <n v="1383.08"/>
    <n v="1154.08"/>
    <n v="229"/>
    <d v="2025-10-03T00:00:00"/>
    <n v="114.5"/>
    <x v="7"/>
  </r>
  <r>
    <s v="AJCQXC"/>
    <n v="668"/>
    <n v="548"/>
    <n v="120"/>
    <d v="2025-10-27T00:00:00"/>
    <n v="60"/>
    <x v="7"/>
  </r>
  <r>
    <s v="DKPKUS"/>
    <n v="650.02"/>
    <n v="630.12"/>
    <n v="19.899999999999977"/>
    <d v="2025-10-27T00:00:00"/>
    <n v="9.9499999999999886"/>
    <x v="7"/>
  </r>
  <r>
    <s v="DKPKUS"/>
    <n v="650.02"/>
    <n v="630.12"/>
    <n v="19.899999999999977"/>
    <d v="2025-10-27T00:00:00"/>
    <n v="9.9499999999999886"/>
    <x v="7"/>
  </r>
  <r>
    <s v="DKPKUS"/>
    <n v="548.02"/>
    <n v="528.12"/>
    <n v="19.899999999999977"/>
    <d v="2025-10-27T00:00:00"/>
    <n v="9.9499999999999886"/>
    <x v="7"/>
  </r>
  <r>
    <s v="DKPKUS"/>
    <n v="485.02"/>
    <n v="470.12"/>
    <n v="14.899999999999977"/>
    <d v="2025-10-27T00:00:00"/>
    <n v="7.4499999999999886"/>
    <x v="7"/>
  </r>
  <r>
    <s v="DKPKUS"/>
    <n v="485.02"/>
    <n v="470.12"/>
    <n v="14.899999999999977"/>
    <d v="2025-10-27T00:00:00"/>
    <n v="7.4499999999999886"/>
    <x v="7"/>
  </r>
  <r>
    <s v="DKPKUS"/>
    <n v="485.02"/>
    <n v="470.12"/>
    <n v="14.899999999999977"/>
    <d v="2025-10-27T00:00:00"/>
    <n v="7.4499999999999886"/>
    <x v="7"/>
  </r>
  <r>
    <s v="DKPKUS"/>
    <n v="485.02"/>
    <n v="470.12"/>
    <n v="14.899999999999977"/>
    <d v="2025-10-27T00:00:00"/>
    <n v="7.4499999999999886"/>
    <x v="7"/>
  </r>
  <r>
    <m/>
    <m/>
    <m/>
    <n v="0"/>
    <d v="2025-10-01T00:00:00"/>
    <n v="0"/>
    <x v="7"/>
  </r>
  <r>
    <m/>
    <m/>
    <m/>
    <m/>
    <d v="2025-02-01T00:00:00"/>
    <n v="0"/>
    <x v="8"/>
  </r>
  <r>
    <m/>
    <m/>
    <m/>
    <m/>
    <d v="2025-06-01T00:00:00"/>
    <n v="0"/>
    <x v="9"/>
  </r>
  <r>
    <m/>
    <m/>
    <m/>
    <n v="0"/>
    <d v="2025-11-01T00:00:00"/>
    <n v="0"/>
    <x v="10"/>
  </r>
  <r>
    <m/>
    <m/>
    <m/>
    <n v="0"/>
    <d v="2025-12-01T00:00:00"/>
    <n v="0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">
  <r>
    <s v="IQBAL/JAVED MR"/>
    <s v="JADHUY"/>
    <s v="BA"/>
    <d v="2025-01-13T00:00:00"/>
    <d v="2025-02-21T00:00:00"/>
    <m/>
    <m/>
    <s v="X"/>
    <d v="2025-01-03T00:00:00"/>
    <s v="TK"/>
    <n v="903.02"/>
    <n v="975"/>
    <s v="+44 7466 264988"/>
    <n v="1"/>
    <n v="71.980000000000018"/>
    <x v="0"/>
  </r>
  <r>
    <s v="HUSSAIN/SYED TABIB MR"/>
    <s v="FLODBF"/>
    <s v="QR"/>
    <d v="2025-01-05T00:00:00"/>
    <d v="2025-02-14T00:00:00"/>
    <m/>
    <m/>
    <s v="X"/>
    <d v="2025-01-03T00:00:00"/>
    <s v="TK"/>
    <n v="922.82"/>
    <n v="995"/>
    <m/>
    <n v="0"/>
    <n v="72.17999999999995"/>
    <x v="0"/>
  </r>
  <r>
    <s v="HUSSAIN/MUZHAIR MR"/>
    <s v="FXGXFZ"/>
    <s v="EY"/>
    <d v="2025-01-18T00:00:00"/>
    <d v="2025-02-06T00:00:00"/>
    <m/>
    <m/>
    <s v="X"/>
    <d v="2025-01-04T00:00:00"/>
    <s v="TK"/>
    <n v="542.32000000000005"/>
    <n v="595"/>
    <m/>
    <n v="1"/>
    <n v="52.67999999999995"/>
    <x v="0"/>
  </r>
  <r>
    <s v="HAFIZ/FOZIA MRS"/>
    <s v="LTCFAZ"/>
    <s v="SV"/>
    <d v="2025-03-30T00:00:00"/>
    <d v="2025-04-23T00:00:00"/>
    <m/>
    <m/>
    <s v="X"/>
    <d v="2025-01-07T00:00:00"/>
    <s v="TK"/>
    <n v="2683.08"/>
    <n v="3355"/>
    <s v="+44 7402 049837"/>
    <n v="4"/>
    <n v="671.92000000000007"/>
    <x v="0"/>
  </r>
  <r>
    <s v="KAUR/NIRMAL MRS"/>
    <s v="JBWKBY"/>
    <s v="VS"/>
    <d v="2025-01-23T00:00:00"/>
    <d v="2025-02-12T00:00:00"/>
    <m/>
    <m/>
    <s v="X"/>
    <d v="2025-01-10T00:00:00"/>
    <s v="TK"/>
    <n v="752.32"/>
    <n v="820"/>
    <s v="+44 7424 134491"/>
    <n v="1"/>
    <n v="67.67999999999995"/>
    <x v="0"/>
  </r>
  <r>
    <s v="IQBAL/MUHAMMAD BILAL MR"/>
    <s v="QUDZEU"/>
    <s v="SV"/>
    <d v="2025-01-10T00:00:00"/>
    <d v="2025-06-28T00:00:00"/>
    <m/>
    <m/>
    <s v="X"/>
    <d v="2025-01-10T00:00:00"/>
    <s v="TK"/>
    <n v="561.77"/>
    <n v="595"/>
    <m/>
    <n v="1"/>
    <n v="33.230000000000018"/>
    <x v="0"/>
  </r>
  <r>
    <s v="KHALID/MUHAMMAD MR"/>
    <s v="OMXGWM"/>
    <s v="SV"/>
    <d v="2025-01-12T00:00:00"/>
    <d v="2025-03-01T00:00:00"/>
    <m/>
    <m/>
    <s v="X"/>
    <d v="2025-01-10T00:00:00"/>
    <s v="TK"/>
    <n v="763.42"/>
    <n v="865"/>
    <s v="+44 7525 344280"/>
    <n v="1"/>
    <n v="101.58000000000004"/>
    <x v="0"/>
  </r>
  <r>
    <s v="BUKHARI/SYEDA MAHRUKH FATIMA MRS"/>
    <s v="FFGTWW"/>
    <s v="KU"/>
    <d v="2025-01-24T00:00:00"/>
    <d v="2025-04-07T00:00:00"/>
    <m/>
    <m/>
    <s v="X"/>
    <d v="2025-01-12T00:00:00"/>
    <s v="DC"/>
    <n v="1244.04"/>
    <n v="1152"/>
    <m/>
    <n v="0"/>
    <n v="-92.039999999999964"/>
    <x v="0"/>
  </r>
  <r>
    <s v="MEHMOOD/WAJID MR"/>
    <s v="CUANOK"/>
    <s v="BA"/>
    <d v="2025-01-21T00:00:00"/>
    <d v="2025-02-08T00:00:00"/>
    <m/>
    <m/>
    <s v="X"/>
    <d v="2025-01-16T00:00:00"/>
    <s v="TK"/>
    <n v="897.87"/>
    <n v="975"/>
    <s v="+44 7828 154128"/>
    <n v="1"/>
    <n v="77.13"/>
    <x v="0"/>
  </r>
  <r>
    <s v="SHAHZAD/KHURAM MR"/>
    <s v="NHJOIH"/>
    <s v="QR"/>
    <d v="2025-01-19T00:00:00"/>
    <m/>
    <m/>
    <m/>
    <s v="X"/>
    <d v="2025-01-17T00:00:00"/>
    <s v="TK"/>
    <n v="529.33000000000004"/>
    <n v="595"/>
    <s v="+44 7983 589716"/>
    <n v="1"/>
    <n v="65.669999999999959"/>
    <x v="0"/>
  </r>
  <r>
    <s v="ZAINAB/MALEEKA MS"/>
    <s v="AUNTIN"/>
    <s v="QR"/>
    <d v="2025-03-30T00:00:00"/>
    <d v="2025-04-25T00:00:00"/>
    <m/>
    <m/>
    <s v="X"/>
    <d v="2025-01-17T00:00:00"/>
    <s v="TK"/>
    <n v="4627.1000000000004"/>
    <n v="4975"/>
    <s v="+44 7983 589716"/>
    <n v="5"/>
    <n v="347.89999999999964"/>
    <x v="0"/>
  </r>
  <r>
    <s v="KARIM DARR/MOHAMMAD MR*YTH"/>
    <s v="GGLRFD"/>
    <s v="BA"/>
    <d v="2025-01-21T00:00:00"/>
    <d v="2025-02-08T00:00:00"/>
    <m/>
    <m/>
    <s v="X"/>
    <d v="2025-01-17T00:00:00"/>
    <s v="TK"/>
    <n v="809.67"/>
    <n v="935"/>
    <s v="+44 7828 154128"/>
    <n v="1"/>
    <n v="125.33000000000004"/>
    <x v="0"/>
  </r>
  <r>
    <s v="SULEMAN/GUL NAWAZ MR"/>
    <s v="JMWMPK"/>
    <s v="KU"/>
    <d v="2025-07-20T00:00:00"/>
    <d v="2025-08-18T00:00:00"/>
    <m/>
    <m/>
    <s v="X"/>
    <d v="2025-01-18T00:00:00"/>
    <s v="TK"/>
    <n v="938.82"/>
    <n v="995"/>
    <s v="+44 7308 514729"/>
    <n v="1"/>
    <n v="56.17999999999995"/>
    <x v="0"/>
  </r>
  <r>
    <s v="SHABIR/MUHAMMAD MR"/>
    <s v="UUQHWB"/>
    <s v="EK"/>
    <d v="2025-01-30T00:00:00"/>
    <d v="2025-03-03T00:00:00"/>
    <m/>
    <m/>
    <s v="X"/>
    <d v="2025-01-18T00:00:00"/>
    <s v="TK"/>
    <n v="745.61"/>
    <n v="815"/>
    <s v="+44 7400 631116"/>
    <n v="1"/>
    <n v="69.389999999999986"/>
    <x v="0"/>
  </r>
  <r>
    <s v="KAUSAR/MARIA MRS"/>
    <s v="CYMOBM"/>
    <s v="BA"/>
    <d v="2025-01-25T00:00:00"/>
    <m/>
    <m/>
    <m/>
    <s v="X"/>
    <d v="2025-01-19T00:00:00"/>
    <s v="TK"/>
    <n v="636.5"/>
    <n v="695"/>
    <s v="+44 7432 703490"/>
    <n v="1"/>
    <n v="58.5"/>
    <x v="0"/>
  </r>
  <r>
    <s v="SHAH/SYED WASEEM HAIDER MR"/>
    <s v="ABAPIE"/>
    <s v="QR"/>
    <d v="2025-03-05T00:00:00"/>
    <d v="2025-04-25T00:00:00"/>
    <m/>
    <m/>
    <s v="X"/>
    <d v="2025-01-20T00:00:00"/>
    <s v="TK"/>
    <n v="1544.04"/>
    <n v="1690"/>
    <s v="+44 7983 589716"/>
    <n v="2"/>
    <n v="145.96000000000004"/>
    <x v="0"/>
  </r>
  <r>
    <s v="BEGUM/KHATIJA MRS"/>
    <s v="HKUNKP"/>
    <s v="EK"/>
    <d v="2025-01-26T00:00:00"/>
    <d v="2025-02-27T00:00:00"/>
    <m/>
    <m/>
    <s v="X"/>
    <d v="2025-01-20T00:00:00"/>
    <s v="TK"/>
    <n v="553.61"/>
    <n v="615"/>
    <s v="+44 7486 318633"/>
    <n v="1"/>
    <n v="61.389999999999986"/>
    <x v="0"/>
  </r>
  <r>
    <s v="Waheed/Abdul Mr"/>
    <s v="GHEVCT"/>
    <s v="KU"/>
    <d v="2025-03-30T00:00:00"/>
    <d v="2025-05-14T00:00:00"/>
    <m/>
    <m/>
    <s v="X"/>
    <d v="2025-01-24T00:00:00"/>
    <s v="TK"/>
    <n v="831.52"/>
    <n v="795"/>
    <s v="+44 7404 664682"/>
    <n v="0"/>
    <n v="-36.519999999999982"/>
    <x v="0"/>
  </r>
  <r>
    <s v="HUSSAIN/HAMZA MR"/>
    <s v="USGXTM"/>
    <s v="QR"/>
    <d v="2025-01-25T00:00:00"/>
    <d v="2025-04-10T00:00:00"/>
    <m/>
    <m/>
    <s v="X"/>
    <d v="2025-01-24T00:00:00"/>
    <s v="TK"/>
    <n v="863.22"/>
    <n v="1095"/>
    <m/>
    <n v="0"/>
    <n v="231.77999999999997"/>
    <x v="0"/>
  </r>
  <r>
    <s v="ABBAS/HAIDER MR"/>
    <s v="JQGRTA"/>
    <s v="KU"/>
    <d v="2025-06-29T00:00:00"/>
    <d v="2025-08-27T00:00:00"/>
    <m/>
    <m/>
    <s v="X"/>
    <d v="2025-01-27T00:00:00"/>
    <s v="TK"/>
    <n v="2162.2600000000002"/>
    <n v="2465"/>
    <m/>
    <n v="3"/>
    <n v="302.73999999999978"/>
    <x v="0"/>
  </r>
  <r>
    <s v="HUSSAIN/KHADIM MR"/>
    <s v="ONGVBY"/>
    <s v="BA"/>
    <d v="2025-02-10T00:00:00"/>
    <d v="2025-04-06T00:00:00"/>
    <m/>
    <m/>
    <s v="X"/>
    <d v="2025-01-31T00:00:00"/>
    <s v="TK"/>
    <n v="908.17"/>
    <n v="995"/>
    <s v="+44 7725 084824"/>
    <n v="1"/>
    <n v="86.830000000000041"/>
    <x v="0"/>
  </r>
  <r>
    <s v="ADREES/HAFIZ MUHAMMAD MR"/>
    <s v="EOHNKX"/>
    <s v="EK/FZ"/>
    <d v="2025-02-04T00:00:00"/>
    <m/>
    <m/>
    <m/>
    <s v="X"/>
    <d v="2025-02-02T00:00:00"/>
    <s v="TK"/>
    <n v="405.9"/>
    <n v="455"/>
    <s v="+44 7951 770730"/>
    <n v="2"/>
    <n v="49.100000000000023"/>
    <x v="1"/>
  </r>
  <r>
    <s v="HUSSAIN/KHALID MR"/>
    <s v="HLAYZW"/>
    <s v="GF"/>
    <d v="2025-02-03T00:00:00"/>
    <d v="2025-03-07T00:00:00"/>
    <m/>
    <m/>
    <s v="X"/>
    <d v="2025-02-03T00:00:00"/>
    <s v="TK"/>
    <n v="2042.92"/>
    <n v="2400"/>
    <s v="+44 7754 356742"/>
    <n v="2"/>
    <n v="357.07999999999993"/>
    <x v="1"/>
  </r>
  <r>
    <s v="ALI/HUSAIN MR"/>
    <s v="NHRGDA"/>
    <s v="BA"/>
    <d v="2025-02-09T00:00:00"/>
    <d v="2025-03-08T00:00:00"/>
    <m/>
    <m/>
    <s v="X"/>
    <d v="2025-02-06T00:00:00"/>
    <s v="TK"/>
    <n v="749.87"/>
    <n v="845"/>
    <s v="+44 7304 072807"/>
    <n v="1"/>
    <n v="95.13"/>
    <x v="1"/>
  </r>
  <r>
    <s v="BI/SAIMA MRS"/>
    <s v="IQEGJG"/>
    <s v="BA"/>
    <d v="2025-04-23T00:00:00"/>
    <d v="2025-05-27T00:00:00"/>
    <m/>
    <m/>
    <s v="X"/>
    <d v="2025-02-23T00:00:00"/>
    <s v="TK"/>
    <n v="700.27"/>
    <n v="775"/>
    <s v="+44 7904 251399"/>
    <n v="1"/>
    <n v="74.730000000000018"/>
    <x v="1"/>
  </r>
  <r>
    <s v="RAJA/MOHAMMAD NAEEM MR"/>
    <s v="GILLNC"/>
    <s v="QR"/>
    <d v="2025-02-18T00:00:00"/>
    <d v="2025-03-14T00:00:00"/>
    <m/>
    <m/>
    <s v="X"/>
    <d v="2025-02-08T00:00:00"/>
    <s v="TK"/>
    <n v="643.82000000000005"/>
    <n v="695"/>
    <s v="+44 7454 868818"/>
    <n v="2"/>
    <n v="51.17999999999995"/>
    <x v="1"/>
  </r>
  <r>
    <s v="BI/ASHIA MRS"/>
    <s v="OCBBZL"/>
    <s v="QR"/>
    <d v="2025-02-19T00:00:00"/>
    <d v="2025-03-27T00:00:00"/>
    <m/>
    <m/>
    <s v="X"/>
    <d v="2025-02-17T00:00:00"/>
    <s v="TK"/>
    <n v="643.52"/>
    <n v="725"/>
    <s v="+44 7400 050602"/>
    <n v="1"/>
    <n v="81.480000000000018"/>
    <x v="1"/>
  </r>
  <r>
    <s v="RIAZ/AZMAT MR"/>
    <s v="WNKDNO"/>
    <s v="QR"/>
    <d v="2025-03-26T00:00:00"/>
    <d v="2025-04-08T00:00:00"/>
    <m/>
    <m/>
    <s v="X"/>
    <d v="2025-02-17T00:00:00"/>
    <s v="TK"/>
    <n v="1000.52"/>
    <n v="1095"/>
    <s v="+44 7979 612000"/>
    <n v="1"/>
    <n v="94.480000000000018"/>
    <x v="1"/>
  </r>
  <r>
    <s v="NAYER/SYED KAMRAN MR"/>
    <s v="AVCZBY"/>
    <s v="KU"/>
    <d v="2025-01-10T00:00:00"/>
    <d v="2025-02-26T00:00:00"/>
    <m/>
    <m/>
    <s v="X"/>
    <d v="2025-02-18T00:00:00"/>
    <s v="DC"/>
    <n v="20"/>
    <n v="175"/>
    <s v="+44 7387 294198"/>
    <n v="1"/>
    <n v="155"/>
    <x v="1"/>
  </r>
  <r>
    <s v="KHAN/ISHTIAQ AHMED MR"/>
    <s v="JUPIQC"/>
    <s v="EY"/>
    <d v="2025-02-23T00:00:00"/>
    <d v="2025-03-17T00:00:00"/>
    <m/>
    <m/>
    <s v="X"/>
    <d v="2025-02-18T00:00:00"/>
    <s v="TK"/>
    <n v="525.22"/>
    <n v="595"/>
    <s v="+44 7828 860470"/>
    <n v="0"/>
    <n v="69.779999999999973"/>
    <x v="1"/>
  </r>
  <r>
    <s v="KHAN/NOOR MR"/>
    <s v="KHEMHB"/>
    <s v="EY"/>
    <d v="2025-03-11T00:00:00"/>
    <d v="2025-05-22T00:00:00"/>
    <m/>
    <m/>
    <s v="X"/>
    <d v="2025-02-19T00:00:00"/>
    <s v="TK"/>
    <n v="525.12"/>
    <n v="595"/>
    <s v="+44 7828 860470"/>
    <n v="2"/>
    <n v="69.88"/>
    <x v="1"/>
  </r>
  <r>
    <s v="RAMZAN/IFRA MRS"/>
    <s v="JRYFXX"/>
    <s v="BA"/>
    <d v="2025-03-23T00:00:00"/>
    <d v="2025-04-23T00:00:00"/>
    <m/>
    <m/>
    <s v="X"/>
    <d v="2025-02-21T00:00:00"/>
    <s v="TK"/>
    <n v="2281.64"/>
    <n v="2430"/>
    <s v="+44 7393 748601"/>
    <n v="2"/>
    <n v="148.36000000000013"/>
    <x v="1"/>
  </r>
  <r>
    <s v="PARVEZ/MUHAMMAD MR"/>
    <s v="SSNWDS"/>
    <s v="EK"/>
    <d v="2025-07-16T00:00:00"/>
    <d v="2025-08-25T00:00:00"/>
    <m/>
    <m/>
    <s v="Installements"/>
    <d v="2025-02-22T00:00:00"/>
    <s v="TK"/>
    <n v="4260"/>
    <n v="4460"/>
    <s v="+44 7922 710949"/>
    <n v="4"/>
    <n v="200"/>
    <x v="1"/>
  </r>
  <r>
    <s v="MEHARBAN/MOHAMMED MR"/>
    <s v="JZAQMY"/>
    <s v="QR"/>
    <d v="2025-03-19T00:00:00"/>
    <d v="2025-04-01T00:00:00"/>
    <m/>
    <m/>
    <s v="X"/>
    <d v="2025-02-26T00:00:00"/>
    <s v="TK"/>
    <n v="793.22"/>
    <n v="865"/>
    <s v="+44 7459 380433"/>
    <n v="1"/>
    <n v="71.779999999999973"/>
    <x v="1"/>
  </r>
  <r>
    <s v="MOHAMANDI/OBAIDULLAH MR"/>
    <s v="WGXLQE"/>
    <s v="PK/SV"/>
    <d v="2025-04-15T00:00:00"/>
    <d v="2025-04-25T00:00:00"/>
    <m/>
    <m/>
    <s v="X"/>
    <d v="2025-02-26T00:00:00"/>
    <s v="TK"/>
    <n v="1555"/>
    <m/>
    <s v="+44 7400 741723"/>
    <n v="0"/>
    <n v="-1555"/>
    <x v="1"/>
  </r>
  <r>
    <s v="MOHAMANDI/OBAIDULLAH MR"/>
    <s v="UXQKCU"/>
    <s v="QR"/>
    <d v="2025-03-07T00:00:00"/>
    <m/>
    <m/>
    <m/>
    <s v="X"/>
    <d v="2025-02-27T00:00:00"/>
    <s v="TK"/>
    <n v="727.84"/>
    <m/>
    <s v="+44 7400 741723"/>
    <n v="0"/>
    <n v="-727.84"/>
    <x v="1"/>
  </r>
  <r>
    <s v="AHMED/AYESHA KHAN MRS"/>
    <s v="SQQNDB"/>
    <s v="BA"/>
    <d v="2025-04-01T00:00:00"/>
    <d v="2025-05-29T00:00:00"/>
    <m/>
    <m/>
    <s v="X"/>
    <d v="2025-02-28T00:00:00"/>
    <s v="TK"/>
    <n v="921.12"/>
    <n v="995"/>
    <s v="+44 7570 549352"/>
    <n v="0"/>
    <n v="73.88"/>
    <x v="1"/>
  </r>
  <r>
    <s v="AHMED/IFTIKHAR MR"/>
    <s v="QBZTWF"/>
    <s v="BA"/>
    <d v="2025-05-11T00:00:00"/>
    <d v="2025-05-29T00:00:00"/>
    <m/>
    <m/>
    <s v="X"/>
    <d v="2025-02-28T00:00:00"/>
    <s v="TK"/>
    <n v="637.12"/>
    <n v="695"/>
    <s v="+44 7570 549352"/>
    <n v="0"/>
    <n v="57.879999999999995"/>
    <x v="1"/>
  </r>
  <r>
    <s v="HUSSAIN/SAJID MR"/>
    <s v="LPLBFW"/>
    <s v="BA"/>
    <d v="2025-03-11T00:00:00"/>
    <d v="2025-04-04T00:00:00"/>
    <m/>
    <m/>
    <s v="X"/>
    <d v="2025-03-01T00:00:00"/>
    <s v="TK"/>
    <n v="1855.91"/>
    <n v="1856"/>
    <m/>
    <n v="0"/>
    <n v="8.9999999999918145E-2"/>
    <x v="2"/>
  </r>
  <r>
    <s v="SHAH/MOHAMMAD ALI MR"/>
    <s v="EAYMQC"/>
    <s v="EY"/>
    <d v="2025-03-05T00:00:00"/>
    <d v="2025-05-06T00:00:00"/>
    <m/>
    <m/>
    <s v="X"/>
    <d v="2025-03-01T00:00:00"/>
    <s v="TK"/>
    <n v="568.91999999999996"/>
    <n v="630"/>
    <s v="+44 7360 185018"/>
    <n v="1"/>
    <n v="61.080000000000041"/>
    <x v="2"/>
  </r>
  <r>
    <s v="SAID/SAIMA MRS"/>
    <s v="WIIGUJ"/>
    <s v="EY"/>
    <d v="2025-03-01T00:00:00"/>
    <d v="2025-03-17T00:00:00"/>
    <m/>
    <m/>
    <s v="X"/>
    <d v="2025-03-01T00:00:00"/>
    <s v="TK"/>
    <n v="1761.84"/>
    <n v="1890"/>
    <s v="+44 7842 728239"/>
    <n v="2"/>
    <n v="128.16000000000008"/>
    <x v="2"/>
  </r>
  <r>
    <s v="ASLAM/MOHAMMAD MR"/>
    <s v="YEPZIG"/>
    <s v="QR"/>
    <d v="2025-03-06T00:00:00"/>
    <d v="2025-03-30T00:00:00"/>
    <m/>
    <m/>
    <s v="X"/>
    <d v="2025-03-06T00:00:00"/>
    <s v="TK"/>
    <n v="740.42"/>
    <n v="920"/>
    <s v="07405016761"/>
    <n v="1"/>
    <n v="179.58000000000004"/>
    <x v="2"/>
  </r>
  <r>
    <s v="SAGHIR/MOHAMMED KAESIM MR"/>
    <s v="QHCEBV"/>
    <s v="EY"/>
    <d v="2025-05-27T00:00:00"/>
    <d v="2025-06-15T00:00:00"/>
    <m/>
    <m/>
    <s v="X"/>
    <d v="2025-03-09T00:00:00"/>
    <s v="TK"/>
    <n v="3366.12"/>
    <n v="3660"/>
    <s v="+44 7312 358653"/>
    <n v="6"/>
    <n v="293.88000000000011"/>
    <x v="2"/>
  </r>
  <r>
    <s v="ASLAM/MOHAMMAD MR"/>
    <s v="YEPZIG"/>
    <s v="QR"/>
    <d v="2025-03-07T00:00:00"/>
    <d v="2025-03-30T00:00:00"/>
    <m/>
    <m/>
    <s v="X"/>
    <d v="2025-03-13T00:00:00"/>
    <s v="DC"/>
    <n v="19"/>
    <n v="175"/>
    <s v="07405016761"/>
    <n v="1"/>
    <n v="156"/>
    <x v="2"/>
  </r>
  <r>
    <s v="HUSSAIN/ASJAD MR"/>
    <s v="JJXGPF"/>
    <s v="BA"/>
    <d v="2025-05-07T00:00:00"/>
    <d v="2025-06-17T00:00:00"/>
    <m/>
    <m/>
    <s v="X"/>
    <d v="2025-03-14T00:00:00"/>
    <s v="TK"/>
    <n v="683.18"/>
    <n v="775"/>
    <s v="+44 7477 898098"/>
    <n v="1"/>
    <n v="91.82000000000005"/>
    <x v="2"/>
  </r>
  <r>
    <s v="RASHID/MOHAMMED MR"/>
    <s v="UJYGFL"/>
    <s v="BA"/>
    <d v="2025-04-21T00:00:00"/>
    <d v="2025-05-13T00:00:00"/>
    <m/>
    <m/>
    <s v="X"/>
    <d v="2025-03-14T00:00:00"/>
    <s v="TK"/>
    <n v="826.18"/>
    <n v="895"/>
    <s v="+44 7878 972349"/>
    <n v="2"/>
    <n v="68.82000000000005"/>
    <x v="2"/>
  </r>
  <r>
    <s v="MEHMOOD/MAZHAR MR"/>
    <s v="AEHMOB"/>
    <s v="QR"/>
    <d v="2025-03-15T00:00:00"/>
    <d v="2025-04-06T00:00:00"/>
    <m/>
    <m/>
    <s v="X"/>
    <d v="2025-03-14T00:00:00"/>
    <s v="TK"/>
    <n v="1034.52"/>
    <n v="1175"/>
    <s v="+44 7304 072807"/>
    <n v="1"/>
    <n v="140.48000000000002"/>
    <x v="2"/>
  </r>
  <r>
    <s v="KHAZI/AHMAD ALSHA MARI MR"/>
    <s v="LOXJPL"/>
    <s v="MH"/>
    <d v="2025-03-19T00:00:00"/>
    <d v="2025-04-09T00:00:00"/>
    <m/>
    <m/>
    <s v="X"/>
    <d v="2025-03-15T00:00:00"/>
    <s v="TK"/>
    <n v="676.12"/>
    <n v="865"/>
    <m/>
    <n v="0"/>
    <n v="188.88"/>
    <x v="2"/>
  </r>
  <r>
    <s v="SAGHIR/SAHIRA PARVEEN MRS"/>
    <s v="CBIKEL"/>
    <s v="EY"/>
    <d v="2025-05-30T00:00:00"/>
    <d v="2025-06-15T00:00:00"/>
    <m/>
    <m/>
    <s v="X"/>
    <d v="2025-03-16T00:00:00"/>
    <s v="TK"/>
    <n v="1089.04"/>
    <n v="1200"/>
    <s v="+44 7312 358653"/>
    <n v="2"/>
    <n v="110.96000000000004"/>
    <x v="2"/>
  </r>
  <r>
    <s v="HUSSAIN/SYED TABIB MR"/>
    <s v="ORJTQI"/>
    <s v="EY"/>
    <d v="2025-03-20T00:00:00"/>
    <d v="2025-05-06T00:00:00"/>
    <m/>
    <m/>
    <s v="X"/>
    <d v="2025-03-20T00:00:00"/>
    <s v="TK"/>
    <n v="1140.32"/>
    <n v="1225"/>
    <m/>
    <n v="1"/>
    <n v="84.680000000000064"/>
    <x v="2"/>
  </r>
  <r>
    <s v="BIBI/AZRA MRS"/>
    <s v="OTUKFA"/>
    <s v="EY"/>
    <d v="2025-03-20T00:00:00"/>
    <d v="2025-05-06T00:00:00"/>
    <m/>
    <m/>
    <s v="X"/>
    <d v="2025-03-20T00:00:00"/>
    <s v="TK"/>
    <n v="2280.64"/>
    <n v="2450"/>
    <m/>
    <n v="2"/>
    <n v="169.36000000000013"/>
    <x v="2"/>
  </r>
  <r>
    <s v="HUSSAIN RASOOLAN/ MUZAFFAR MR"/>
    <s v="AZPOPH"/>
    <s v="BA"/>
    <d v="2025-04-10T00:00:00"/>
    <m/>
    <m/>
    <m/>
    <s v="X"/>
    <d v="2025-03-24T00:00:00"/>
    <s v="TK"/>
    <n v="2741"/>
    <n v="2995"/>
    <s v="+44 7424 501641"/>
    <n v="0"/>
    <n v="254"/>
    <x v="2"/>
  </r>
  <r>
    <s v="HUSSAIN/MULAZAM MR"/>
    <s v="FLXBEY"/>
    <s v="QR"/>
    <d v="2025-04-15T00:00:00"/>
    <d v="2025-07-14T00:00:00"/>
    <m/>
    <m/>
    <s v="X"/>
    <d v="2025-03-31T00:00:00"/>
    <s v="TK"/>
    <n v="869.42"/>
    <n v="985"/>
    <m/>
    <n v="0"/>
    <n v="115.58000000000004"/>
    <x v="2"/>
  </r>
  <r>
    <s v="HAIDER/SYED ZEESHAN MR"/>
    <s v="AYUVFW"/>
    <s v="QR"/>
    <d v="2025-04-15T00:00:00"/>
    <d v="2025-05-15T00:00:00"/>
    <m/>
    <m/>
    <s v="X"/>
    <d v="2025-03-31T00:00:00"/>
    <s v="TK"/>
    <n v="893.42"/>
    <n v="980"/>
    <s v="+44 7454 755542"/>
    <n v="1"/>
    <n v="86.580000000000041"/>
    <x v="2"/>
  </r>
  <r>
    <s v="HAIDER/IBTISAM MR"/>
    <s v="UNXTXK"/>
    <s v="CA"/>
    <d v="2025-04-10T00:00:00"/>
    <m/>
    <m/>
    <m/>
    <s v="X"/>
    <d v="2025-04-01T00:00:00"/>
    <s v="TK"/>
    <n v="450.8"/>
    <n v="510"/>
    <s v="44 7544 961777"/>
    <n v="1"/>
    <n v="59.199999999999989"/>
    <x v="3"/>
  </r>
  <r>
    <s v="NABI/GHULAM MR"/>
    <s v="GOSOSZ"/>
    <s v="SV"/>
    <d v="2025-04-23T00:00:00"/>
    <d v="2025-06-05T00:00:00"/>
    <m/>
    <m/>
    <s v="X"/>
    <d v="2025-04-03T00:00:00"/>
    <s v="TK"/>
    <n v="382.82"/>
    <n v="382.82"/>
    <m/>
    <n v="0"/>
    <n v="0"/>
    <x v="3"/>
  </r>
  <r>
    <s v="MUHAMMAD/JAHANGIR MR"/>
    <s v="IPFPLO"/>
    <s v="QR"/>
    <d v="2025-04-08T00:00:00"/>
    <d v="2025-05-20T00:00:00"/>
    <m/>
    <m/>
    <s v="X"/>
    <d v="2025-04-04T00:00:00"/>
    <s v="TK"/>
    <n v="1160.22"/>
    <n v="1225"/>
    <s v="+44 7477 339334"/>
    <n v="1"/>
    <n v="64.779999999999973"/>
    <x v="3"/>
  </r>
  <r>
    <s v="AKHTAR/SHAMIM MRS"/>
    <s v="QMJRPN"/>
    <s v="BA"/>
    <d v="2025-04-14T00:00:00"/>
    <d v="2025-06-05T00:00:00"/>
    <m/>
    <m/>
    <s v="X"/>
    <d v="2025-04-04T00:00:00"/>
    <s v="TK"/>
    <n v="869.08"/>
    <n v="940"/>
    <s v="+44 7927 575150"/>
    <n v="1"/>
    <n v="70.919999999999959"/>
    <x v="3"/>
  </r>
  <r>
    <s v="MUHAMMAD/JAHANGIR MR"/>
    <s v="IPFPLO"/>
    <s v="QR"/>
    <d v="2025-04-05T00:00:00"/>
    <d v="2025-05-20T00:00:00"/>
    <m/>
    <m/>
    <s v="X"/>
    <d v="2025-04-04T00:00:00"/>
    <s v="DC"/>
    <n v="1325"/>
    <n v="1675"/>
    <m/>
    <n v="1"/>
    <n v="350"/>
    <x v="3"/>
  </r>
  <r>
    <s v="RASUL/NUSRAT BEGUM MRS"/>
    <s v="QJQVDA"/>
    <s v="BA"/>
    <d v="2025-04-15T00:00:00"/>
    <d v="2025-06-06T00:00:00"/>
    <m/>
    <m/>
    <s v="X"/>
    <d v="2025-04-04T00:00:00"/>
    <s v="TK"/>
    <n v="869.08"/>
    <n v="940"/>
    <s v="+44 7927 575150"/>
    <n v="1"/>
    <n v="70.919999999999959"/>
    <x v="3"/>
  </r>
  <r>
    <s v="HUSSAIN/JHANGEER MR"/>
    <s v="YERVFM"/>
    <s v="QR"/>
    <d v="2025-04-06T00:00:00"/>
    <m/>
    <m/>
    <m/>
    <s v="X"/>
    <d v="2025-04-05T00:00:00"/>
    <s v="TK"/>
    <n v="501.7"/>
    <n v="595"/>
    <m/>
    <n v="1"/>
    <n v="93.300000000000011"/>
    <x v="3"/>
  </r>
  <r>
    <s v="SHAH/SYED MATLOOB HUSSAIN MR"/>
    <s v="OJEQPB"/>
    <s v="QR"/>
    <d v="2025-04-22T00:00:00"/>
    <d v="2025-05-20T00:00:00"/>
    <m/>
    <m/>
    <s v="X"/>
    <d v="2025-04-06T00:00:00"/>
    <s v="TK"/>
    <n v="730.32"/>
    <n v="825"/>
    <m/>
    <n v="0"/>
    <n v="94.67999999999995"/>
    <x v="3"/>
  </r>
  <r>
    <s v="IQBAL/MOHAMMED MR"/>
    <s v="WXUETQ"/>
    <s v="BA"/>
    <d v="2025-05-28T00:00:00"/>
    <d v="2025-07-01T00:00:00"/>
    <m/>
    <m/>
    <s v="X"/>
    <d v="2025-04-08T00:00:00"/>
    <s v="TK"/>
    <n v="754.48"/>
    <n v="795"/>
    <m/>
    <n v="0"/>
    <n v="40.519999999999982"/>
    <x v="3"/>
  </r>
  <r>
    <s v="JAVED/SAJIDA MRS"/>
    <s v="JUHMCT"/>
    <s v="QR"/>
    <d v="2025-04-17T00:00:00"/>
    <d v="2025-05-24T00:00:00"/>
    <m/>
    <m/>
    <s v="X"/>
    <d v="2025-04-09T00:00:00"/>
    <s v="TK"/>
    <n v="587.82000000000005"/>
    <n v="760"/>
    <s v="+44 7403 446482"/>
    <n v="1"/>
    <n v="172.17999999999995"/>
    <x v="3"/>
  </r>
  <r>
    <s v="SHAH/ASHIQ HUSSAIN MR"/>
    <s v="JWBKJF"/>
    <s v="SV"/>
    <d v="2025-04-30T00:00:00"/>
    <d v="2025-06-07T00:00:00"/>
    <m/>
    <m/>
    <s v="X"/>
    <d v="2025-04-10T00:00:00"/>
    <s v="TK"/>
    <n v="1427.46"/>
    <n v="1635"/>
    <s v="+44 7852 353730"/>
    <n v="0"/>
    <n v="207.53999999999996"/>
    <x v="3"/>
  </r>
  <r>
    <s v="MALIK BIBI/SALEEM AKHTAR MR"/>
    <s v="IACDOA"/>
    <s v="QR"/>
    <d v="2025-07-29T00:00:00"/>
    <d v="2025-09-05T00:00:00"/>
    <m/>
    <m/>
    <s v="X"/>
    <d v="2025-04-10T00:00:00"/>
    <s v="TK"/>
    <n v="4098.08"/>
    <n v="4180"/>
    <s v="+44 7459 908436"/>
    <n v="0"/>
    <n v="81.920000000000073"/>
    <x v="3"/>
  </r>
  <r>
    <s v="MUSHTAQ/AAMIR MR"/>
    <s v="JYQWEM"/>
    <s v="PK/AF"/>
    <d v="2025-05-18T00:00:00"/>
    <d v="2025-06-20T00:00:00"/>
    <m/>
    <m/>
    <s v="X"/>
    <d v="2025-04-11T00:00:00"/>
    <s v="TK"/>
    <n v="1173.5"/>
    <n v="1285"/>
    <m/>
    <n v="0"/>
    <n v="111.5"/>
    <x v="3"/>
  </r>
  <r>
    <s v="KHAN JAN/GUL BAHAR MR"/>
    <s v="WXDRYS"/>
    <s v="KU"/>
    <d v="2025-04-13T00:00:00"/>
    <d v="2025-05-12T00:00:00"/>
    <m/>
    <m/>
    <s v="X"/>
    <d v="2025-04-11T00:00:00"/>
    <s v="TK"/>
    <n v="908.62"/>
    <n v="995"/>
    <s v="+44 7404 512761"/>
    <n v="1"/>
    <n v="86.38"/>
    <x v="3"/>
  </r>
  <r>
    <s v="AHMED/NABILA MRS"/>
    <s v="YHCJFW"/>
    <s v="QR"/>
    <d v="2025-07-15T00:00:00"/>
    <d v="2025-08-11T00:00:00"/>
    <m/>
    <m/>
    <s v="X"/>
    <d v="2025-04-14T00:00:00"/>
    <s v="TK"/>
    <n v="3889.68"/>
    <n v="4180"/>
    <s v="+44 7826 150755"/>
    <n v="4"/>
    <n v="290.32000000000016"/>
    <x v="3"/>
  </r>
  <r>
    <s v="MOHAMANDI/OBAIDULLAH MR"/>
    <s v="JDIWDV"/>
    <s v="EK"/>
    <d v="2025-04-30T00:00:00"/>
    <m/>
    <m/>
    <m/>
    <s v="X"/>
    <d v="2025-04-17T00:00:00"/>
    <s v="TK"/>
    <n v="1604.2"/>
    <n v="1770"/>
    <s v="+44 7400 741723"/>
    <n v="2"/>
    <n v="165.79999999999995"/>
    <x v="3"/>
  </r>
  <r>
    <s v="ABBASI/MUHAMMAD HARIS MR"/>
    <s v="KPNBVL"/>
    <s v="EK/FZ"/>
    <d v="2025-04-22T00:00:00"/>
    <m/>
    <m/>
    <m/>
    <s v="X"/>
    <d v="2025-04-18T00:00:00"/>
    <s v="TK"/>
    <n v="807.9"/>
    <n v="807.9"/>
    <m/>
    <n v="0"/>
    <n v="0"/>
    <x v="3"/>
  </r>
  <r>
    <s v="HUSSAIN/MULAZAM MR"/>
    <s v="FLXBEY"/>
    <s v="QR"/>
    <m/>
    <m/>
    <m/>
    <m/>
    <s v="X"/>
    <d v="2025-04-19T00:00:00"/>
    <s v="DC"/>
    <n v="28"/>
    <n v="75"/>
    <m/>
    <n v="1"/>
    <n v="47"/>
    <x v="3"/>
  </r>
  <r>
    <s v="NAQVI/RIDA ZAINAB MRS"/>
    <s v="QJISHJ"/>
    <s v="CX/BA"/>
    <d v="2025-05-02T00:00:00"/>
    <m/>
    <m/>
    <m/>
    <s v="X"/>
    <d v="2025-04-24T00:00:00"/>
    <s v="TK"/>
    <n v="567.77"/>
    <n v="567.77"/>
    <m/>
    <n v="0"/>
    <n v="0"/>
    <x v="3"/>
  </r>
  <r>
    <s v="ABBASI/MUHAMMAD HARIS MR"/>
    <s v="OENLTV"/>
    <s v="GF"/>
    <d v="2025-04-22T00:00:00"/>
    <m/>
    <m/>
    <m/>
    <s v="X"/>
    <d v="2025-04-21T00:00:00"/>
    <s v="TK"/>
    <n v="852.4"/>
    <n v="852.4"/>
    <m/>
    <n v="0"/>
    <n v="0"/>
    <x v="3"/>
  </r>
  <r>
    <s v="KHAN/ADAIB MR"/>
    <s v="GOBPAI"/>
    <s v="BA"/>
    <d v="2025-05-28T00:00:00"/>
    <d v="2025-07-08T00:00:00"/>
    <m/>
    <m/>
    <s v="X"/>
    <d v="2025-04-22T00:00:00"/>
    <s v="TK"/>
    <n v="716.78"/>
    <n v="775"/>
    <s v="+44 7702 058046"/>
    <n v="1"/>
    <n v="58.220000000000027"/>
    <x v="3"/>
  </r>
  <r>
    <s v="SHAH/GHULAM HUSNAIN ALI MR"/>
    <s v="OLOPXR"/>
    <s v="KU"/>
    <d v="2025-10-05T00:00:00"/>
    <d v="2025-11-05T00:00:00"/>
    <m/>
    <m/>
    <s v="Installements"/>
    <d v="2025-04-24T00:00:00"/>
    <s v="TK"/>
    <n v="2359.1"/>
    <n v="2725"/>
    <s v="+44 7843 864332"/>
    <n v="0"/>
    <n v="365.90000000000009"/>
    <x v="3"/>
  </r>
  <r>
    <s v="MEHMOOD/WAJID MR"/>
    <s v="AUZAVX"/>
    <s v="BA"/>
    <d v="2025-05-28T00:00:00"/>
    <d v="2025-07-01T00:00:00"/>
    <m/>
    <m/>
    <s v="X"/>
    <d v="2025-04-25T00:00:00"/>
    <s v="TK"/>
    <n v="788.78"/>
    <n v="875"/>
    <s v="+44 7448 213136"/>
    <n v="1"/>
    <n v="86.220000000000027"/>
    <x v="3"/>
  </r>
  <r>
    <s v="HUSSAIN/CHOUDARY IBRAR MR"/>
    <s v="FNNKFA"/>
    <s v="GF"/>
    <d v="2025-05-04T00:00:00"/>
    <m/>
    <m/>
    <m/>
    <s v="X"/>
    <d v="2025-04-25T00:00:00"/>
    <s v="TK"/>
    <n v="343.72"/>
    <n v="405"/>
    <s v="+44 7749 891236"/>
    <n v="1"/>
    <n v="61.279999999999973"/>
    <x v="3"/>
  </r>
  <r>
    <s v="JEWEL/MR"/>
    <s v="AFTJNY"/>
    <s v="QR"/>
    <d v="2025-05-05T00:00:00"/>
    <d v="2025-05-27T00:00:00"/>
    <m/>
    <m/>
    <s v="X"/>
    <d v="2025-04-26T00:00:00"/>
    <s v="TK"/>
    <n v="690.52"/>
    <n v="790"/>
    <s v="+44 7440 284999/07405097979"/>
    <n v="0"/>
    <n v="99.480000000000018"/>
    <x v="3"/>
  </r>
  <r>
    <s v="ARIF/NUMAN MR"/>
    <s v="AECORR"/>
    <s v="PK"/>
    <d v="2025-05-06T00:00:00"/>
    <d v="2025-07-24T00:00:00"/>
    <m/>
    <m/>
    <s v="115 BAL"/>
    <d v="2025-04-28T00:00:00"/>
    <s v="TK"/>
    <n v="253.2"/>
    <n v="315"/>
    <s v="+44 7456 559969"/>
    <n v="1"/>
    <n v="61.800000000000011"/>
    <x v="3"/>
  </r>
  <r>
    <s v="NISSA/NAJMUN MRS"/>
    <s v="QWTZYD"/>
    <s v="SV"/>
    <d v="2025-05-08T00:00:00"/>
    <d v="2025-06-09T00:00:00"/>
    <m/>
    <m/>
    <s v="X"/>
    <d v="2025-04-29T00:00:00"/>
    <s v="TK"/>
    <n v="537.32000000000005"/>
    <n v="625"/>
    <s v="+44 7908 852325"/>
    <n v="1"/>
    <n v="87.67999999999995"/>
    <x v="3"/>
  </r>
  <r>
    <s v="HUSSAIN/SAJID MR"/>
    <s v="EGVJHO"/>
    <s v="SV"/>
    <d v="2025-07-22T00:00:00"/>
    <d v="2025-09-04T00:00:00"/>
    <m/>
    <m/>
    <s v="X"/>
    <d v="2025-04-30T00:00:00"/>
    <s v="TK"/>
    <n v="3605.46"/>
    <n v="3975"/>
    <s v="+44 7456 440240"/>
    <n v="3"/>
    <n v="369.53999999999996"/>
    <x v="3"/>
  </r>
  <r>
    <s v="FAREED/NAFEESA MRS"/>
    <s v="UABDFO"/>
    <s v="QR"/>
    <d v="2025-08-22T00:00:00"/>
    <d v="2025-09-02T00:00:00"/>
    <m/>
    <m/>
    <s v="X"/>
    <d v="2025-05-01T00:00:00"/>
    <s v="TK"/>
    <n v="2498.46"/>
    <n v="2700"/>
    <m/>
    <n v="3"/>
    <n v="201.53999999999996"/>
    <x v="4"/>
  </r>
  <r>
    <s v="BIBI/AISHA MS"/>
    <s v="QGQWUP"/>
    <s v="EY/PK"/>
    <d v="2025-07-27T00:00:00"/>
    <d v="2025-08-29T00:00:00"/>
    <m/>
    <m/>
    <s v="X"/>
    <d v="2025-05-03T00:00:00"/>
    <s v="TK"/>
    <n v="1049.82"/>
    <n v="1110"/>
    <m/>
    <n v="1"/>
    <n v="60.180000000000064"/>
    <x v="4"/>
  </r>
  <r>
    <s v="FAREED/MOHAMMED MR"/>
    <s v="WLLFEU"/>
    <s v="QR"/>
    <d v="2025-08-22T00:00:00"/>
    <d v="2025-09-09T00:00:00"/>
    <m/>
    <m/>
    <s v="X"/>
    <d v="2025-05-06T00:00:00"/>
    <s v="TK"/>
    <n v="739.82"/>
    <n v="820"/>
    <m/>
    <n v="1"/>
    <n v="80.17999999999995"/>
    <x v="4"/>
  </r>
  <r>
    <s v="SHABIR/SHABAB MR"/>
    <s v="LTORBJ"/>
    <s v="QR"/>
    <d v="2025-08-15T00:00:00"/>
    <d v="2025-09-23T00:00:00"/>
    <m/>
    <m/>
    <s v="X"/>
    <d v="2025-05-06T00:00:00"/>
    <s v="TK"/>
    <n v="1571.88"/>
    <n v="1865"/>
    <m/>
    <n v="1"/>
    <n v="293.11999999999989"/>
    <x v="4"/>
  </r>
  <r>
    <s v="NISSA/NAJMUN MRS"/>
    <s v="IOHTUX"/>
    <s v="QR"/>
    <d v="2025-05-12T00:00:00"/>
    <m/>
    <m/>
    <m/>
    <n v="240"/>
    <d v="2025-05-12T00:00:00"/>
    <s v="TK"/>
    <n v="537.52"/>
    <n v="540"/>
    <m/>
    <n v="0"/>
    <n v="2.4800000000000182"/>
    <x v="4"/>
  </r>
  <r>
    <s v="SERAJEH HASANI/SOHEILA MRS"/>
    <s v="GTLUNW"/>
    <s v="QR"/>
    <d v="2025-05-31T00:00:00"/>
    <m/>
    <m/>
    <m/>
    <s v="X"/>
    <d v="2025-05-13T00:00:00"/>
    <s v="TK"/>
    <n v="498.04"/>
    <n v="610"/>
    <m/>
    <n v="0"/>
    <n v="111.95999999999998"/>
    <x v="4"/>
  </r>
  <r>
    <s v="KHAN LODHI/MOHAMMAD JAVAID MR"/>
    <s v="QKBMCW"/>
    <s v="EK"/>
    <d v="2025-05-21T00:00:00"/>
    <m/>
    <m/>
    <m/>
    <s v="X"/>
    <d v="2025-05-13T00:00:00"/>
    <s v="TK"/>
    <n v="497.5"/>
    <n v="565"/>
    <m/>
    <n v="1"/>
    <n v="67.5"/>
    <x v="4"/>
  </r>
  <r>
    <s v="KAZMI/SYED MUHAMMAD SIBTAIN MR"/>
    <s v="MEKVIZ"/>
    <s v="EK/FZ"/>
    <d v="2025-05-22T00:00:00"/>
    <m/>
    <m/>
    <m/>
    <s v="X"/>
    <d v="2025-05-14T00:00:00"/>
    <s v="TK"/>
    <n v="420.9"/>
    <n v="430"/>
    <m/>
    <n v="1"/>
    <n v="9.1000000000000227"/>
    <x v="4"/>
  </r>
  <r>
    <s v="SHAH/ISHTIAQ HUSSAIN MR"/>
    <s v="WYXSPV"/>
    <s v="QR"/>
    <d v="2025-05-25T00:00:00"/>
    <m/>
    <m/>
    <m/>
    <s v="X"/>
    <d v="2025-05-15T00:00:00"/>
    <s v="TK"/>
    <n v="334.52"/>
    <n v="395"/>
    <m/>
    <n v="1"/>
    <n v="60.480000000000018"/>
    <x v="4"/>
  </r>
  <r>
    <s v="HUSSAIN/ASJAD MR"/>
    <s v="NAPXPG"/>
    <s v="KU"/>
    <d v="2025-05-18T00:00:00"/>
    <d v="2025-09-29T00:00:00"/>
    <m/>
    <m/>
    <s v="X"/>
    <d v="2025-05-16T00:00:00"/>
    <s v="TK"/>
    <n v="691.42"/>
    <n v="835"/>
    <m/>
    <n v="1"/>
    <n v="143.58000000000004"/>
    <x v="4"/>
  </r>
  <r>
    <s v="HUSSAIN/ZAHOOR MR"/>
    <s v="C9PH0H"/>
    <s v="TK"/>
    <d v="2025-09-03T00:00:00"/>
    <d v="2025-10-14T00:00:00"/>
    <m/>
    <m/>
    <s v="X"/>
    <d v="2025-05-21T00:00:00"/>
    <s v="TK"/>
    <n v="1116.24"/>
    <n v="1250"/>
    <m/>
    <n v="2"/>
    <n v="133.76"/>
    <x v="4"/>
  </r>
  <r>
    <s v="QAYOOM/MUHAMMAD MR"/>
    <s v="LJOSTK"/>
    <s v="SV"/>
    <d v="2025-05-29T00:00:00"/>
    <d v="2025-06-28T00:00:00"/>
    <m/>
    <m/>
    <s v="X"/>
    <d v="2025-05-22T00:00:00"/>
    <s v="TK"/>
    <n v="756.68"/>
    <n v="0"/>
    <m/>
    <n v="0"/>
    <n v="-756.68"/>
    <x v="4"/>
  </r>
  <r>
    <s v="KHAN/UMAYYAH MISS*CNN"/>
    <s v="FBFMBH"/>
    <s v="QR"/>
    <d v="2025-06-30T00:00:00"/>
    <m/>
    <m/>
    <m/>
    <s v="X"/>
    <d v="2025-05-23T00:00:00"/>
    <s v="TK"/>
    <n v="266.2"/>
    <n v="345"/>
    <m/>
    <n v="0"/>
    <n v="78.800000000000011"/>
    <x v="4"/>
  </r>
  <r>
    <s v="IBRAHIM/MUHAMMAD MR"/>
    <s v="HYDKAO"/>
    <s v="GF"/>
    <d v="2025-05-25T00:00:00"/>
    <d v="2025-09-18T00:00:00"/>
    <m/>
    <m/>
    <s v="X"/>
    <d v="2025-05-23T00:00:00"/>
    <s v="TK"/>
    <n v="656.32"/>
    <n v="775"/>
    <m/>
    <n v="1"/>
    <n v="118.67999999999995"/>
    <x v="4"/>
  </r>
  <r>
    <s v="SHROZ/BANYAMIN MR"/>
    <s v="JEYVQB"/>
    <s v="QR"/>
    <d v="2025-06-04T00:00:00"/>
    <d v="2025-06-30T00:00:00"/>
    <m/>
    <m/>
    <s v="X"/>
    <d v="2025-05-23T00:00:00"/>
    <s v="TK"/>
    <n v="1042.52"/>
    <n v="1185"/>
    <m/>
    <n v="1"/>
    <n v="142.48000000000002"/>
    <x v="4"/>
  </r>
  <r>
    <s v="HUSSAIN ASLAM/SHAFQAT MR"/>
    <s v="UFMKMP"/>
    <s v="QR"/>
    <d v="2025-08-03T00:00:00"/>
    <d v="2025-10-30T00:00:00"/>
    <m/>
    <m/>
    <s v="X"/>
    <d v="2025-05-27T00:00:00"/>
    <s v="TK"/>
    <n v="930.62"/>
    <m/>
    <m/>
    <n v="0"/>
    <n v="-930.62"/>
    <x v="4"/>
  </r>
  <r>
    <s v="NABI/GHULAM MR"/>
    <s v="GOSOSZ"/>
    <s v="SV"/>
    <d v="2025-06-10T00:00:00"/>
    <m/>
    <m/>
    <m/>
    <n v="220"/>
    <d v="2025-05-29T00:00:00"/>
    <s v="DC"/>
    <n v="140.4"/>
    <n v="220"/>
    <m/>
    <n v="1"/>
    <n v="79.599999999999994"/>
    <x v="4"/>
  </r>
  <r>
    <s v="BEGUM/KALI MRS"/>
    <s v="QIPPPT"/>
    <s v="BA"/>
    <d v="2025-06-07T00:00:00"/>
    <d v="2025-10-06T00:00:00"/>
    <m/>
    <m/>
    <s v="X"/>
    <d v="2025-06-02T00:00:00"/>
    <s v="TK"/>
    <n v="690.28"/>
    <n v="795"/>
    <m/>
    <n v="1"/>
    <n v="104.72000000000003"/>
    <x v="5"/>
  </r>
  <r>
    <s v="BILAL/MUHAMMAD MR"/>
    <s v="LCJEVL"/>
    <s v="EY"/>
    <d v="2025-06-02T00:00:00"/>
    <d v="2025-06-16T00:00:00"/>
    <m/>
    <m/>
    <s v="X"/>
    <d v="2025-06-08T00:00:00"/>
    <s v="TK"/>
    <n v="1466.62"/>
    <n v="0"/>
    <m/>
    <n v="0.5"/>
    <n v="-1466.62"/>
    <x v="5"/>
  </r>
  <r>
    <s v="SALEEM/ALEENA MRS"/>
    <s v="DHLYQF"/>
    <s v="BA"/>
    <d v="2025-06-16T00:00:00"/>
    <d v="2025-08-14T00:00:00"/>
    <m/>
    <m/>
    <s v="X"/>
    <d v="2025-06-12T00:00:00"/>
    <s v="TK"/>
    <n v="1167.6600000000001"/>
    <n v="1290"/>
    <m/>
    <n v="2"/>
    <n v="122.33999999999992"/>
    <x v="5"/>
  </r>
  <r>
    <s v="SHAH/NAVEEDA MRS"/>
    <s v="OCUNWD"/>
    <s v="EY"/>
    <d v="2025-06-20T00:00:00"/>
    <d v="2025-07-13T00:00:00"/>
    <m/>
    <m/>
    <s v="X"/>
    <d v="2025-06-12T00:00:00"/>
    <s v="TK"/>
    <n v="1077.6400000000001"/>
    <n v="1190"/>
    <m/>
    <n v="2"/>
    <n v="112.3599999999999"/>
    <x v="5"/>
  </r>
  <r>
    <s v="KAUR/NIRMAL MRS"/>
    <s v="EARMJN"/>
    <s v="TS"/>
    <d v="2025-07-29T00:00:00"/>
    <d v="2025-08-19T00:00:00"/>
    <m/>
    <m/>
    <s v="X"/>
    <d v="2025-06-17T00:00:00"/>
    <s v="TK"/>
    <n v="1909.76"/>
    <n v="2050"/>
    <m/>
    <n v="2"/>
    <n v="140.24"/>
    <x v="5"/>
  </r>
  <r>
    <s v="MUBASHER/TANWEER MRS"/>
    <s v="GKHBGR"/>
    <s v="QR"/>
    <d v="2025-06-29T00:00:00"/>
    <d v="2025-12-02T00:00:00"/>
    <m/>
    <m/>
    <s v="X"/>
    <d v="2025-06-18T00:00:00"/>
    <s v="TK"/>
    <n v="604.02"/>
    <n v="685"/>
    <m/>
    <n v="1"/>
    <n v="80.980000000000018"/>
    <x v="5"/>
  </r>
  <r>
    <s v="MEHMOOD/WAJID MR"/>
    <s v="AUZAVX"/>
    <s v="BA"/>
    <d v="2025-07-22T00:00:00"/>
    <m/>
    <m/>
    <m/>
    <s v="X"/>
    <d v="2025-06-18T00:00:00"/>
    <s v="DC"/>
    <n v="150"/>
    <n v="250"/>
    <m/>
    <n v="0.5"/>
    <n v="100"/>
    <x v="5"/>
  </r>
  <r>
    <s v="RANA/MUBASHER HUSSAIN MR"/>
    <s v="QDNLWO"/>
    <s v="QR"/>
    <d v="2025-09-16T00:00:00"/>
    <d v="2025-12-02T00:00:00"/>
    <m/>
    <m/>
    <s v="X"/>
    <d v="2025-06-18T00:00:00"/>
    <s v="TK"/>
    <n v="604.02"/>
    <n v="695"/>
    <m/>
    <n v="1"/>
    <n v="90.980000000000018"/>
    <x v="5"/>
  </r>
  <r>
    <s v="SHAH/UMME LAILA MRS"/>
    <s v="DFKTIN"/>
    <s v="SV"/>
    <d v="2025-06-27T00:00:00"/>
    <m/>
    <m/>
    <m/>
    <s v="X"/>
    <d v="2025-06-18T00:00:00"/>
    <s v="TK"/>
    <n v="977.2"/>
    <n v="1080"/>
    <m/>
    <n v="3"/>
    <n v="102.79999999999995"/>
    <x v="5"/>
  </r>
  <r>
    <s v="ZAMAN/MUHAMMAD MR"/>
    <s v="IUVSKQ"/>
    <s v="EK"/>
    <d v="2025-08-06T00:00:00"/>
    <d v="2025-09-11T00:00:00"/>
    <m/>
    <m/>
    <s v="X"/>
    <d v="2025-06-19T00:00:00"/>
    <s v="TK"/>
    <n v="2267.1"/>
    <n v="2445"/>
    <m/>
    <n v="3"/>
    <n v="177.90000000000009"/>
    <x v="5"/>
  </r>
  <r>
    <s v="SHAH/MASOOD HUSSAIN MR"/>
    <s v="CNYYWE"/>
    <s v="GF"/>
    <d v="2025-07-03T00:00:00"/>
    <m/>
    <m/>
    <m/>
    <s v="X"/>
    <d v="2025-06-21T00:00:00"/>
    <s v="TK"/>
    <n v="380.8"/>
    <n v="430"/>
    <m/>
    <n v="1"/>
    <n v="49.199999999999989"/>
    <x v="5"/>
  </r>
  <r>
    <s v="HUSSAIN/TARIQ MR"/>
    <s v="FSJQIG"/>
    <s v="QR"/>
    <d v="2025-08-08T00:00:00"/>
    <d v="2025-09-29T00:00:00"/>
    <m/>
    <m/>
    <s v="X"/>
    <d v="2025-06-24T00:00:00"/>
    <s v="TK"/>
    <n v="828.32"/>
    <n v="895"/>
    <m/>
    <n v="0.5"/>
    <n v="66.67999999999995"/>
    <x v="5"/>
  </r>
  <r>
    <s v="BIBI/HAJIRA MRS"/>
    <s v="KZOKCA"/>
    <s v="QR"/>
    <d v="2025-06-29T00:00:00"/>
    <m/>
    <m/>
    <m/>
    <s v="X"/>
    <d v="2025-06-26T00:00:00"/>
    <s v="TK"/>
    <n v="903.28"/>
    <n v="1180"/>
    <m/>
    <n v="4"/>
    <n v="276.72000000000003"/>
    <x v="5"/>
  </r>
  <r>
    <s v="SHAHZAD/KHURRAM MR"/>
    <s v="LSXNSV"/>
    <s v="QR"/>
    <d v="2025-06-26T00:00:00"/>
    <d v="2025-07-21T00:00:00"/>
    <m/>
    <m/>
    <s v="X"/>
    <d v="2025-06-26T00:00:00"/>
    <s v="TK"/>
    <n v="578.02"/>
    <n v="625"/>
    <m/>
    <n v="1"/>
    <n v="46.980000000000018"/>
    <x v="5"/>
  </r>
  <r>
    <s v="MUBASHER/TANWEER MRS"/>
    <s v="GKHBGR"/>
    <s v="QR"/>
    <d v="2025-09-16T00:00:00"/>
    <d v="2025-12-02T00:00:00"/>
    <m/>
    <m/>
    <s v="X"/>
    <d v="2025-06-27T00:00:00"/>
    <s v="DC"/>
    <n v="44"/>
    <n v="195"/>
    <m/>
    <n v="0.5"/>
    <n v="151"/>
    <x v="5"/>
  </r>
  <r>
    <s v="SHAH/UMME LAILA MRS"/>
    <s v="DFKTIN"/>
    <s v="SV"/>
    <d v="2025-06-27T00:00:00"/>
    <m/>
    <m/>
    <m/>
    <s v="X"/>
    <d v="2025-06-27T00:00:00"/>
    <s v="R-ER"/>
    <n v="2.9"/>
    <n v="0"/>
    <m/>
    <n v="0"/>
    <n v="-2.9"/>
    <x v="5"/>
  </r>
  <r>
    <s v="KHAN/FEROZ MR"/>
    <s v="USDSKR"/>
    <s v="EK"/>
    <d v="2025-07-02T00:00:00"/>
    <d v="2025-07-07T00:00:00"/>
    <m/>
    <m/>
    <s v="X"/>
    <d v="2025-06-27T00:00:00"/>
    <s v="TK"/>
    <n v="550.71"/>
    <n v="595"/>
    <m/>
    <n v="0.5"/>
    <n v="44.289999999999964"/>
    <x v="5"/>
  </r>
  <r>
    <s v="KHAN/AHMED MR"/>
    <s v="OFXRLU"/>
    <s v="EK"/>
    <d v="2025-07-02T00:00:00"/>
    <d v="2025-07-07T00:00:00"/>
    <m/>
    <m/>
    <s v="X"/>
    <d v="2025-06-27T00:00:00"/>
    <s v="TK"/>
    <n v="460.71"/>
    <n v="595"/>
    <m/>
    <n v="0.5"/>
    <n v="134.29000000000002"/>
    <x v="5"/>
  </r>
  <r>
    <s v="DAULATZAI/ILHAMUDEN MR"/>
    <s v="NKXIDP"/>
    <s v="EK"/>
    <d v="2025-07-02T00:00:00"/>
    <d v="2025-07-07T00:00:00"/>
    <m/>
    <m/>
    <s v="X"/>
    <d v="2025-06-27T00:00:00"/>
    <s v="TK"/>
    <n v="754.51"/>
    <n v="795"/>
    <m/>
    <n v="0.5"/>
    <n v="40.490000000000009"/>
    <x v="5"/>
  </r>
  <r>
    <s v="MALIK BIBI/SALEEM AKHTAR MR"/>
    <s v="FWALDF"/>
    <s v="KU"/>
    <d v="2025-12-14T00:00:00"/>
    <d v="2025-01-12T00:00:00"/>
    <m/>
    <m/>
    <s v="X"/>
    <d v="2025-06-28T00:00:00"/>
    <s v="TK"/>
    <n v="3172.68"/>
    <n v="3500"/>
    <m/>
    <n v="4"/>
    <n v="327.32000000000016"/>
    <x v="5"/>
  </r>
  <r>
    <s v="SINGH/GURVINDER"/>
    <s v="DIVUQQ"/>
    <s v="AI"/>
    <d v="2025-10-16T00:00:00"/>
    <d v="2025-10-31T00:00:00"/>
    <m/>
    <m/>
    <s v="X"/>
    <d v="2025-06-29T00:00:00"/>
    <s v="TK"/>
    <n v="644.91999999999996"/>
    <n v="795"/>
    <m/>
    <n v="0.5"/>
    <n v="150.08000000000004"/>
    <x v="5"/>
  </r>
  <r>
    <s v="SHAH/RIFAT BATOOL MRS"/>
    <s v="FZXAJR"/>
    <s v="TK"/>
    <d v="2025-10-09T00:00:00"/>
    <d v="2025-11-12T00:00:00"/>
    <m/>
    <m/>
    <s v="X"/>
    <d v="2025-06-30T00:00:00"/>
    <s v="TK"/>
    <n v="1019.16"/>
    <n v="1140"/>
    <m/>
    <n v="2"/>
    <n v="120.84000000000003"/>
    <x v="5"/>
  </r>
  <r>
    <s v="QAISAR/MISBAH MRS"/>
    <s v="KYTGCU"/>
    <s v="BA"/>
    <d v="2025-07-17T00:00:00"/>
    <m/>
    <m/>
    <m/>
    <s v="X"/>
    <d v="2025-06-30T00:00:00"/>
    <s v="TK"/>
    <n v="552.62"/>
    <n v="605"/>
    <m/>
    <n v="1"/>
    <n v="52.379999999999995"/>
    <x v="5"/>
  </r>
  <r>
    <s v="KHATOON/SUBIKA MRS"/>
    <s v="MHSQRF"/>
    <s v="BA"/>
    <d v="2026-03-27T00:00:00"/>
    <d v="2025-04-28T00:00:00"/>
    <m/>
    <m/>
    <s v="X"/>
    <d v="2025-06-30T00:00:00"/>
    <s v="TK"/>
    <n v="5826.24"/>
    <n v="6520"/>
    <m/>
    <n v="8"/>
    <n v="693.76000000000022"/>
    <x v="5"/>
  </r>
  <r>
    <s v="DAULATZAI/ILHAMUDEN MR"/>
    <s v="NKXIDP"/>
    <s v="EK"/>
    <d v="2025-07-02T00:00:00"/>
    <d v="2025-07-07T00:00:00"/>
    <m/>
    <m/>
    <s v="X"/>
    <d v="2025-07-01T00:00:00"/>
    <s v="TK"/>
    <n v="754.51"/>
    <n v="825"/>
    <m/>
    <n v="0.5"/>
    <n v="70.490000000000009"/>
    <x v="6"/>
  </r>
  <r>
    <s v="NOMAN/MUHAMMAD MR"/>
    <s v="NZLFXF"/>
    <s v="TK"/>
    <d v="2025-08-21T00:00:00"/>
    <d v="2025-10-22T00:00:00"/>
    <m/>
    <m/>
    <s v="X"/>
    <d v="2025-07-01T00:00:00"/>
    <s v="TK"/>
    <n v="805.6"/>
    <n v="895"/>
    <m/>
    <n v="1"/>
    <n v="89.399999999999977"/>
    <x v="6"/>
  </r>
  <r>
    <s v="DALER/SAKHI MR"/>
    <s v="IZXIUU"/>
    <s v="BA"/>
    <d v="2025-07-11T00:00:00"/>
    <d v="2025-08-16T00:00:00"/>
    <m/>
    <m/>
    <s v="X"/>
    <d v="2025-07-02T00:00:00"/>
    <s v="TK"/>
    <n v="790.87"/>
    <n v="845"/>
    <m/>
    <n v="2"/>
    <n v="54.129999999999995"/>
    <x v="6"/>
  </r>
  <r>
    <s v="SHAH/SAQAB HUSSAIN MR"/>
    <s v="YPNSCI"/>
    <s v="QR"/>
    <d v="2025-07-08T00:00:00"/>
    <d v="2025-07-22T00:00:00"/>
    <m/>
    <m/>
    <s v="X"/>
    <d v="2025-07-02T00:00:00"/>
    <s v="TK"/>
    <n v="699.02"/>
    <n v="800"/>
    <m/>
    <n v="0.5"/>
    <n v="100.98000000000002"/>
    <x v="6"/>
  </r>
  <r>
    <s v="HUSSAIN/SAJJAD MR"/>
    <s v="FQKGNI"/>
    <s v="QR"/>
    <d v="2025-10-03T00:00:00"/>
    <d v="2025-10-10T00:00:00"/>
    <m/>
    <m/>
    <s v="X"/>
    <d v="2025-07-03T00:00:00"/>
    <s v="TK"/>
    <n v="2398.1"/>
    <n v="2495"/>
    <m/>
    <n v="0"/>
    <n v="96.900000000000091"/>
    <x v="6"/>
  </r>
  <r>
    <s v="DOULATZAI/PASHTOON MRS"/>
    <s v="ASHIGJ"/>
    <s v="EK"/>
    <d v="2025-07-08T00:00:00"/>
    <m/>
    <m/>
    <m/>
    <s v="X"/>
    <d v="2025-07-25T00:00:00"/>
    <s v="TK"/>
    <n v="760.3"/>
    <n v="795"/>
    <m/>
    <n v="0.5"/>
    <n v="34.700000000000045"/>
    <x v="6"/>
  </r>
  <r>
    <s v="SHAHEEN/NAJIA MRS"/>
    <s v="MJDPPL"/>
    <s v="QR"/>
    <d v="2025-08-06T00:00:00"/>
    <d v="2025-08-31T00:00:00"/>
    <m/>
    <m/>
    <s v="X"/>
    <d v="2025-07-05T00:00:00"/>
    <s v="TK"/>
    <n v="1957.24"/>
    <n v="2110"/>
    <m/>
    <n v="2"/>
    <n v="152.76"/>
    <x v="6"/>
  </r>
  <r>
    <s v="AYESHA/ANAUM MRS"/>
    <s v="SLLEWR"/>
    <s v="QR"/>
    <d v="2025-07-09T00:00:00"/>
    <d v="2025-08-02T00:00:00"/>
    <m/>
    <m/>
    <s v="X"/>
    <d v="2025-07-07T00:00:00"/>
    <s v="TK"/>
    <n v="784.06"/>
    <n v="845"/>
    <m/>
    <n v="0.5"/>
    <n v="60.940000000000055"/>
    <x v="6"/>
  </r>
  <r>
    <s v="FAROUQ/UMAR MR"/>
    <s v="NZYGDJ"/>
    <s v="QR"/>
    <d v="2025-08-06T00:00:00"/>
    <d v="2025-08-31T00:00:00"/>
    <m/>
    <m/>
    <s v="X"/>
    <d v="2025-07-17T00:00:00"/>
    <s v="TK"/>
    <n v="1193.02"/>
    <n v="1295"/>
    <m/>
    <n v="1"/>
    <n v="101.98000000000002"/>
    <x v="6"/>
  </r>
  <r>
    <s v="HABEEBULLA KHAN/IRFAN ULLA KHAN MR"/>
    <s v="GBGUIW"/>
    <s v="GF"/>
    <d v="2025-08-03T00:00:00"/>
    <d v="2025-08-24T00:00:00"/>
    <m/>
    <m/>
    <s v="X"/>
    <d v="2025-07-19T00:00:00"/>
    <s v="DC"/>
    <n v="231"/>
    <n v="295"/>
    <m/>
    <n v="1"/>
    <n v="64"/>
    <x v="6"/>
  </r>
  <r>
    <s v="ALI/MOHAMMED AKBAR MR"/>
    <s v="WTGRLH"/>
    <s v="AC"/>
    <d v="2025-08-25T00:00:00"/>
    <d v="2025-09-09T00:00:00"/>
    <m/>
    <m/>
    <s v="X"/>
    <d v="2025-07-24T00:00:00"/>
    <s v="TK"/>
    <n v="490.12"/>
    <n v="530"/>
    <m/>
    <n v="0.5"/>
    <n v="39.879999999999995"/>
    <x v="6"/>
  </r>
  <r>
    <s v="ZAHRA/ALIYA MS"/>
    <s v="UYMUGG"/>
    <s v="SV"/>
    <d v="2025-07-24T00:00:00"/>
    <d v="2025-09-09T00:00:00"/>
    <m/>
    <m/>
    <s v="X"/>
    <d v="2025-07-24T00:00:00"/>
    <s v="TK"/>
    <n v="2310"/>
    <n v="2320"/>
    <m/>
    <n v="0"/>
    <n v="10"/>
    <x v="6"/>
  </r>
  <r>
    <s v="MEHMOOD/FARHAD MR"/>
    <s v="GBDRHE"/>
    <s v="BA"/>
    <d v="2025-07-30T00:00:00"/>
    <d v="2025-09-02T00:00:00"/>
    <m/>
    <m/>
    <s v="X"/>
    <d v="2025-07-24T00:00:00"/>
    <s v="TK"/>
    <n v="2652.98"/>
    <n v="3050"/>
    <m/>
    <n v="2"/>
    <n v="397.02"/>
    <x v="6"/>
  </r>
  <r>
    <s v="BABO/GUL MRS"/>
    <s v="MPQPWL"/>
    <s v="TK"/>
    <d v="2025-07-27T00:00:00"/>
    <m/>
    <m/>
    <m/>
    <s v="X"/>
    <d v="2025-07-25T00:00:00"/>
    <s v="TK"/>
    <n v="2428.2399999999998"/>
    <n v="2590"/>
    <m/>
    <n v="2"/>
    <n v="161.76000000000022"/>
    <x v="6"/>
  </r>
  <r>
    <s v="KHADIJA/GHULAM MRS"/>
    <s v="MWGIZT"/>
    <s v="BA"/>
    <d v="2025-08-09T00:00:00"/>
    <d v="2025-11-07T00:00:00"/>
    <m/>
    <m/>
    <s v="X"/>
    <d v="2025-07-28T00:00:00"/>
    <s v="TK"/>
    <n v="749.18"/>
    <n v="820"/>
    <m/>
    <n v="0.5"/>
    <n v="70.82000000000005"/>
    <x v="6"/>
  </r>
  <r>
    <s v="TARIQ/SABA MRS"/>
    <s v="QNPCRI"/>
    <s v="GF"/>
    <d v="2025-08-14T00:00:00"/>
    <d v="2025-10-13T00:00:00"/>
    <m/>
    <m/>
    <s v="X"/>
    <d v="2025-07-30T00:00:00"/>
    <s v="TK"/>
    <n v="645.22"/>
    <n v="695"/>
    <m/>
    <n v="1"/>
    <n v="49.779999999999973"/>
    <x v="6"/>
  </r>
  <r>
    <s v="KHAN/GHAFFAR ASHRAF MR"/>
    <s v="INMSVK"/>
    <s v="EY"/>
    <d v="2025-09-11T00:00:00"/>
    <m/>
    <m/>
    <m/>
    <s v="X"/>
    <d v="2025-07-30T00:00:00"/>
    <s v="TK"/>
    <n v="1275.28"/>
    <n v="1500"/>
    <m/>
    <n v="4"/>
    <n v="224.72000000000003"/>
    <x v="6"/>
  </r>
  <r>
    <s v="HUSSAIN/SAFDAR MR"/>
    <s v="UYNJRK"/>
    <s v="SV"/>
    <d v="2025-09-27T00:00:00"/>
    <d v="2025-11-26T00:00:00"/>
    <m/>
    <m/>
    <s v="X"/>
    <d v="2025-07-31T00:00:00"/>
    <s v="TK"/>
    <n v="615.32000000000005"/>
    <n v="0"/>
    <m/>
    <n v="4"/>
    <n v="-615.32000000000005"/>
    <x v="6"/>
  </r>
  <r>
    <s v="WAHID/ABDUL MR"/>
    <s v="FJUTUV"/>
    <s v="SV"/>
    <d v="2025-09-27T00:00:00"/>
    <d v="2025-10-21T00:00:00"/>
    <m/>
    <m/>
    <s v="X"/>
    <d v="2025-07-31T00:00:00"/>
    <s v="TK"/>
    <n v="615.32000000000005"/>
    <n v="0"/>
    <m/>
    <n v="1"/>
    <n v="-615.32000000000005"/>
    <x v="6"/>
  </r>
  <r>
    <s v="WAHID/ABDUL MR"/>
    <s v="MDKBWA"/>
    <s v="PK"/>
    <d v="2025-10-05T00:00:00"/>
    <m/>
    <m/>
    <m/>
    <s v="X"/>
    <d v="2025-07-31T00:00:00"/>
    <s v="TK"/>
    <n v="145"/>
    <n v="0"/>
    <m/>
    <n v="6"/>
    <n v="-145"/>
    <x v="6"/>
  </r>
  <r>
    <s v="HANIF/MUHAMMAD MR"/>
    <s v="UYSMOE"/>
    <s v="SV"/>
    <d v="2025-09-27T00:00:00"/>
    <d v="2025-05-11T00:00:00"/>
    <m/>
    <m/>
    <s v="X"/>
    <d v="2025-08-02T00:00:00"/>
    <s v="TK"/>
    <n v="535.79999999999995"/>
    <n v="595"/>
    <m/>
    <n v="0.5"/>
    <n v="59.200000000000045"/>
    <x v="7"/>
  </r>
  <r>
    <s v="HANIF/MUHAMMAD MR"/>
    <s v="QROVMG"/>
    <s v="SV"/>
    <d v="2025-10-05T00:00:00"/>
    <m/>
    <m/>
    <m/>
    <s v="X"/>
    <d v="2025-08-02T00:00:00"/>
    <s v="TK"/>
    <n v="146.19999999999999"/>
    <n v="149"/>
    <m/>
    <n v="0"/>
    <n v="2.8000000000000114"/>
    <x v="7"/>
  </r>
  <r>
    <s v="NASIR/SYED ALI MR"/>
    <s v="SHQMOO"/>
    <s v="PC"/>
    <d v="2025-10-21T00:00:00"/>
    <d v="2025-10-31T00:00:00"/>
    <m/>
    <m/>
    <s v="X"/>
    <d v="2025-08-06T00:00:00"/>
    <s v="TK"/>
    <n v="2565.36"/>
    <m/>
    <m/>
    <n v="3"/>
    <n v="-2565.36"/>
    <x v="7"/>
  </r>
  <r>
    <s v="REHMAN/HAFEEZ UR MR"/>
    <s v="SAEBXO"/>
    <s v="QR"/>
    <d v="2025-08-24T00:00:00"/>
    <m/>
    <m/>
    <m/>
    <s v="X"/>
    <d v="2025-08-07T00:00:00"/>
    <s v="TK"/>
    <n v="1100.42"/>
    <n v="1200"/>
    <m/>
    <n v="3"/>
    <n v="99.579999999999927"/>
    <x v="7"/>
  </r>
  <r>
    <s v="SHAH/SYED NASIR ALI MR"/>
    <s v="ASTFDI"/>
    <s v="SV"/>
    <d v="2025-10-10T00:00:00"/>
    <d v="2025-11-15T00:00:00"/>
    <m/>
    <m/>
    <s v="X"/>
    <d v="2025-08-07T00:00:00"/>
    <s v="TK"/>
    <n v="2587.7199999999998"/>
    <n v="2750"/>
    <m/>
    <n v="3"/>
    <n v="162.2800000000002"/>
    <x v="7"/>
  </r>
  <r>
    <s v="SHAH/SYED NASIR ALI MR"/>
    <s v="ASTFDI"/>
    <s v="SV"/>
    <m/>
    <d v="2025-10-16T00:00:00"/>
    <m/>
    <m/>
    <s v="X"/>
    <d v="2025-08-07T00:00:00"/>
    <s v="TK"/>
    <n v="754.8"/>
    <m/>
    <m/>
    <n v="0"/>
    <n v="-754.8"/>
    <x v="7"/>
  </r>
  <r>
    <s v="GHANI/ABDUL MR"/>
    <s v="OFYBWE"/>
    <s v="BA"/>
    <d v="2025-08-25T00:00:00"/>
    <d v="2025-10-23T00:00:00"/>
    <m/>
    <m/>
    <s v="X"/>
    <d v="2025-08-08T00:00:00"/>
    <s v="TK"/>
    <n v="788.28"/>
    <n v="850"/>
    <s v="+44 7842 728239"/>
    <n v="1"/>
    <n v="61.720000000000027"/>
    <x v="7"/>
  </r>
  <r>
    <s v="GHANI/UMAIR MR"/>
    <s v="CNOGZD"/>
    <s v="BA"/>
    <d v="2025-08-25T00:00:00"/>
    <d v="2025-10-07T00:00:00"/>
    <m/>
    <m/>
    <s v="X"/>
    <d v="2025-08-08T00:00:00"/>
    <s v="TK"/>
    <n v="788.28"/>
    <n v="850"/>
    <s v="+44 7842 728240"/>
    <n v="1"/>
    <n v="61.720000000000027"/>
    <x v="7"/>
  </r>
  <r>
    <s v="AKHTAR/NASREEN MRS"/>
    <s v="AJCQXC"/>
    <s v="BA"/>
    <d v="2025-08-25T00:00:00"/>
    <d v="2025-11-24T00:00:00"/>
    <m/>
    <m/>
    <s v="X"/>
    <d v="2025-08-08T00:00:00"/>
    <s v="TK"/>
    <n v="788.28"/>
    <n v="850"/>
    <s v="+44 7842 728241"/>
    <n v="1"/>
    <n v="61.720000000000027"/>
    <x v="7"/>
  </r>
  <r>
    <s v="AHMED/IFTIKHAR MR"/>
    <s v="NNUMFO"/>
    <s v="EY"/>
    <d v="2025-10-11T00:00:00"/>
    <d v="2025-10-26T00:00:00"/>
    <m/>
    <m/>
    <s v="X"/>
    <d v="2025-08-10T00:00:00"/>
    <s v="TK"/>
    <n v="1139.24"/>
    <n v="1190"/>
    <m/>
    <n v="2"/>
    <n v="50.759999999999991"/>
    <x v="7"/>
  </r>
  <r>
    <s v="AHMED/QURAT UL ANNE MRS"/>
    <s v="MFOZLT"/>
    <s v="EY"/>
    <d v="2025-10-11T00:00:00"/>
    <d v="2025-11-07T00:00:00"/>
    <m/>
    <m/>
    <s v="X"/>
    <d v="2025-08-10T00:00:00"/>
    <s v="TK"/>
    <n v="1912.48"/>
    <n v="2080"/>
    <m/>
    <n v="4"/>
    <n v="167.51999999999998"/>
    <x v="7"/>
  </r>
  <r>
    <s v="MOHAMMAD/YASIN MR"/>
    <s v="KUSCMM"/>
    <s v="QR"/>
    <d v="2025-08-26T00:00:00"/>
    <m/>
    <m/>
    <m/>
    <s v="X"/>
    <d v="2025-08-13T00:00:00"/>
    <s v="TK"/>
    <n v="334.32"/>
    <n v="385"/>
    <s v="07438590688"/>
    <n v="1"/>
    <n v="50.680000000000007"/>
    <x v="7"/>
  </r>
  <r>
    <s v="YOUNAS/MOHAMMED MR"/>
    <s v="YPHVSQ"/>
    <s v="EY"/>
    <d v="2025-09-16T00:00:00"/>
    <d v="2025-12-16T00:00:00"/>
    <m/>
    <m/>
    <s v="X"/>
    <d v="2025-08-14T00:00:00"/>
    <s v="TK"/>
    <n v="549.22"/>
    <n v="625"/>
    <m/>
    <n v="1"/>
    <n v="75.779999999999973"/>
    <x v="7"/>
  </r>
  <r>
    <s v="TAHIRA/TAFSEEL MRS"/>
    <s v="GGIKWU"/>
    <s v="EY"/>
    <d v="2025-08-28T00:00:00"/>
    <d v="2025-09-28T00:00:00"/>
    <m/>
    <m/>
    <s v="X"/>
    <d v="2025-08-14T00:00:00"/>
    <s v="TK"/>
    <n v="563.22"/>
    <n v="625"/>
    <s v="+44 7405 900686"/>
    <n v="1"/>
    <n v="61.779999999999973"/>
    <x v="7"/>
  </r>
  <r>
    <s v="ISHAQ/HAROON MR"/>
    <s v="HIOBIT"/>
    <s v="QR"/>
    <d v="2025-08-14T00:00:00"/>
    <d v="2025-09-04T00:00:00"/>
    <m/>
    <m/>
    <s v="X"/>
    <d v="2025-08-13T00:00:00"/>
    <s v="TK"/>
    <n v="1167.32"/>
    <n v="1295"/>
    <s v="07574507564"/>
    <n v="1"/>
    <n v="127.68000000000006"/>
    <x v="7"/>
  </r>
  <r>
    <s v="IBTIHAJ/MUHAMMAD MSTR*CNN"/>
    <s v="HFPHPQ"/>
    <s v="QR"/>
    <d v="2025-08-14T00:00:00"/>
    <d v="2025-09-04T00:00:00"/>
    <m/>
    <m/>
    <s v="X"/>
    <d v="2025-08-13T00:00:00"/>
    <s v="TK"/>
    <n v="966.32"/>
    <n v="1045"/>
    <s v="07574507564"/>
    <n v="1"/>
    <n v="78.67999999999995"/>
    <x v="7"/>
  </r>
  <r>
    <s v="QAISAR/MISBAH MRS"/>
    <s v="DGCBFQ"/>
    <s v="BA"/>
    <d v="2025-09-09T00:00:00"/>
    <m/>
    <m/>
    <m/>
    <s v="X"/>
    <d v="2025-08-13T00:00:00"/>
    <s v="TK"/>
    <n v="504.3"/>
    <n v="575"/>
    <s v="+44 7507 794942"/>
    <n v="1"/>
    <n v="70.699999999999989"/>
    <x v="7"/>
  </r>
  <r>
    <s v="ANWAR/RASHDAH MRS"/>
    <s v="MRWSUC"/>
    <s v="A3"/>
    <d v="2025-08-15T00:00:00"/>
    <m/>
    <m/>
    <m/>
    <s v="X"/>
    <d v="2025-08-15T00:00:00"/>
    <s v="TK"/>
    <n v="2276.52"/>
    <n v="2700"/>
    <s v="+44 7504 252027"/>
    <n v="6"/>
    <n v="423.48"/>
    <x v="7"/>
  </r>
  <r>
    <s v="ALI/IFTIKHAR MR"/>
    <s v="EYSXON"/>
    <s v="SV"/>
    <d v="2025-09-13T00:00:00"/>
    <d v="2025-10-04T00:00:00"/>
    <m/>
    <m/>
    <s v="X"/>
    <d v="2025-08-16T00:00:00"/>
    <s v="TK"/>
    <n v="1123.6400000000001"/>
    <n v="1230"/>
    <s v="+44 7868 055582"/>
    <n v="2"/>
    <n v="106.3599999999999"/>
    <x v="7"/>
  </r>
  <r>
    <s v="HASSAN/SAQLAIN UL MR"/>
    <s v="WFOSFX"/>
    <s v="SV"/>
    <d v="2025-09-05T00:00:00"/>
    <d v="2025-09-16T00:00:00"/>
    <m/>
    <m/>
    <s v="X"/>
    <d v="2025-08-21T00:00:00"/>
    <s v="TK"/>
    <n v="596.02"/>
    <n v="665"/>
    <s v="+44 7969 869975"/>
    <n v="1"/>
    <n v="68.980000000000018"/>
    <x v="7"/>
  </r>
  <r>
    <s v="AHMED/WAQAR MR"/>
    <s v="AVJION"/>
    <s v="BA"/>
    <d v="2025-11-11T00:00:00"/>
    <d v="2025-12-22T00:00:00"/>
    <m/>
    <m/>
    <s v="X"/>
    <d v="2025-08-24T00:00:00"/>
    <s v="TK"/>
    <n v="1503.96"/>
    <n v="1670"/>
    <s v="+44 7717 773803"/>
    <n v="2"/>
    <n v="166.03999999999996"/>
    <x v="7"/>
  </r>
  <r>
    <s v="ABBAS/ZAIGHUM MR"/>
    <s v="ITYEKQ"/>
    <s v="BA"/>
    <d v="2025-10-03T00:00:00"/>
    <d v="2025-11-11T00:00:00"/>
    <m/>
    <m/>
    <s v="X"/>
    <d v="2025-08-25T00:00:00"/>
    <s v="TK"/>
    <n v="683.48"/>
    <n v="740"/>
    <s v="+44 7450 261614"/>
    <n v="1"/>
    <n v="56.519999999999982"/>
    <x v="7"/>
  </r>
  <r>
    <s v="ALI/AYAN MR"/>
    <s v="WXMMMT"/>
    <s v="BA"/>
    <d v="2025-10-03T00:00:00"/>
    <d v="2025-11-15T00:00:00"/>
    <m/>
    <m/>
    <s v="X"/>
    <d v="2025-08-25T00:00:00"/>
    <s v="TK"/>
    <n v="709.48"/>
    <n v="770"/>
    <s v="+44 7450 261614"/>
    <n v="1"/>
    <n v="60.519999999999982"/>
    <x v="7"/>
  </r>
  <r>
    <s v="HUSSAIN/NAVEED MR"/>
    <s v="WZAYWB"/>
    <s v="BA"/>
    <d v="2025-10-03T00:00:00"/>
    <d v="2025-11-29T00:00:00"/>
    <m/>
    <m/>
    <s v="X"/>
    <d v="2025-08-25T00:00:00"/>
    <s v="TK"/>
    <n v="1718.52"/>
    <n v="1920"/>
    <s v="+44 7450 261614"/>
    <n v="4"/>
    <n v="201.48000000000002"/>
    <x v="7"/>
  </r>
  <r>
    <s v="RAMZAN/IFRA MS"/>
    <s v="UCRHXR"/>
    <s v="BA"/>
    <d v="2025-10-13T00:00:00"/>
    <d v="2025-10-25T00:00:00"/>
    <m/>
    <m/>
    <s v="X"/>
    <d v="2025-08-28T00:00:00"/>
    <s v="TK"/>
    <n v="583.88"/>
    <n v="695"/>
    <s v="+44 7393 748601"/>
    <n v="1"/>
    <n v="111.12"/>
    <x v="7"/>
  </r>
  <r>
    <s v="BEGUM/IQBAL MRS"/>
    <s v="SNTBJA"/>
    <s v="EY"/>
    <d v="2025-08-31T00:00:00"/>
    <d v="2025-01-08T00:00:00"/>
    <m/>
    <m/>
    <s v="X"/>
    <d v="2025-08-28T00:00:00"/>
    <s v="TK"/>
    <n v="1520.42"/>
    <n v="1600"/>
    <s v="+44 7393 748601"/>
    <n v="1"/>
    <n v="79.579999999999927"/>
    <x v="7"/>
  </r>
  <r>
    <s v="NAWAZ/FARUKH MR"/>
    <s v="LUZDBN"/>
    <s v="BA"/>
    <d v="2025-09-01T00:00:00"/>
    <d v="2025-09-27T00:00:00"/>
    <m/>
    <m/>
    <s v="X"/>
    <d v="2025-08-28T00:00:00"/>
    <s v="TK"/>
    <n v="622.52"/>
    <n v="695"/>
    <s v="+44 7472 111411"/>
    <n v="0.5"/>
    <n v="72.480000000000018"/>
    <x v="7"/>
  </r>
  <r>
    <s v="ZULFIGAR/AMINA MS"/>
    <s v="KMOZAO"/>
    <s v="SV"/>
    <d v="2025-12-27T00:00:00"/>
    <d v="2025-01-05T00:00:00"/>
    <m/>
    <m/>
    <s v="X"/>
    <d v="2025-09-02T00:00:00"/>
    <s v="TK"/>
    <n v="618.20000000000005"/>
    <n v="650"/>
    <m/>
    <n v="1"/>
    <n v="31.799999999999955"/>
    <x v="8"/>
  </r>
  <r>
    <s v="ZAHID/LYDIE YASMIN MS"/>
    <s v="INNWRX"/>
    <s v="SV"/>
    <d v="2025-12-27T00:00:00"/>
    <d v="2025-01-05T00:00:00"/>
    <m/>
    <m/>
    <s v="X"/>
    <d v="2025-09-02T00:00:00"/>
    <s v="TK"/>
    <n v="715.2"/>
    <n v="735"/>
    <m/>
    <n v="1"/>
    <n v="19.799999999999955"/>
    <x v="8"/>
  </r>
  <r>
    <s v="DOULATZAI/PASHTOON MRS"/>
    <s v="MTRQES"/>
    <s v="TK"/>
    <d v="2025-09-11T00:00:00"/>
    <m/>
    <m/>
    <m/>
    <s v="X"/>
    <d v="2025-09-02T00:00:00"/>
    <s v="TK"/>
    <n v="2194.1999999999998"/>
    <n v="2390"/>
    <m/>
    <n v="2"/>
    <n v="195.80000000000018"/>
    <x v="8"/>
  </r>
  <r>
    <s v="BALENTHIRAN/NATHAN MR"/>
    <s v="SXAVQU"/>
    <s v="AI"/>
    <d v="2025-09-10T00:00:00"/>
    <d v="2025-09-24T00:00:00"/>
    <m/>
    <m/>
    <s v="X"/>
    <d v="2025-09-02T00:00:00"/>
    <s v="TK"/>
    <n v="411.62"/>
    <n v="450"/>
    <m/>
    <n v="0.5"/>
    <n v="38.379999999999995"/>
    <x v="8"/>
  </r>
  <r>
    <s v="ZAHRA/SHAMA MUNIR MRS"/>
    <s v="WCLGGH"/>
    <s v="TK"/>
    <d v="2025-11-25T00:00:00"/>
    <m/>
    <m/>
    <m/>
    <s v="X"/>
    <d v="2025-09-02T00:00:00"/>
    <s v="TK"/>
    <n v="1090.0999999999999"/>
    <n v="1165"/>
    <m/>
    <n v="1"/>
    <n v="74.900000000000091"/>
    <x v="8"/>
  </r>
  <r>
    <s v="SERAJEH HASANI/SOHEILA MRS"/>
    <s v="OTUZMG"/>
    <s v="QR"/>
    <d v="2025-09-09T00:00:00"/>
    <m/>
    <m/>
    <m/>
    <s v="X"/>
    <d v="2025-09-04T00:00:00"/>
    <s v="TK"/>
    <n v="381.2"/>
    <n v="580"/>
    <m/>
    <n v="0.5"/>
    <n v="198.8"/>
    <x v="8"/>
  </r>
  <r>
    <s v="ILYAS/HAMZA MR"/>
    <s v="SRDXEH"/>
    <s v="BA"/>
    <d v="2025-09-10T00:00:00"/>
    <d v="2025-09-23T00:00:00"/>
    <m/>
    <m/>
    <s v="X"/>
    <d v="2025-09-04T00:00:00"/>
    <s v="TK"/>
    <n v="584.08000000000004"/>
    <n v="0"/>
    <m/>
    <n v="1"/>
    <n v="-584.08000000000004"/>
    <x v="8"/>
  </r>
  <r>
    <s v="ALI/HAIDER MSTR"/>
    <s v="GKTZMF"/>
    <s v="BA"/>
    <d v="2025-09-23T00:00:00"/>
    <m/>
    <m/>
    <m/>
    <s v="X"/>
    <d v="2025-09-04T00:00:00"/>
    <s v="TK"/>
    <n v="320"/>
    <n v="0"/>
    <m/>
    <n v="0.5"/>
    <n v="-320"/>
    <x v="8"/>
  </r>
  <r>
    <s v="PERVEEN/SAIMA MRS"/>
    <s v="HIMFBL"/>
    <s v="EY"/>
    <d v="2025-09-12T00:00:00"/>
    <d v="2025-11-06T00:00:00"/>
    <m/>
    <m/>
    <s v="X"/>
    <d v="2025-09-06T00:00:00"/>
    <s v="TK"/>
    <n v="578.22"/>
    <n v="675"/>
    <m/>
    <n v="1"/>
    <n v="96.779999999999973"/>
    <x v="8"/>
  </r>
  <r>
    <s v="SHAH/SHABIR HUSSAIN MR"/>
    <s v="HHZMNE"/>
    <s v="BA"/>
    <d v="2025-02-20T00:00:00"/>
    <d v="2025-04-28T00:00:00"/>
    <m/>
    <m/>
    <s v="X"/>
    <d v="2025-09-08T00:00:00"/>
    <s v="TK"/>
    <n v="584.08000000000004"/>
    <n v="695"/>
    <m/>
    <n v="1"/>
    <n v="110.91999999999996"/>
    <x v="8"/>
  </r>
  <r>
    <s v="HUSSAIN/IMRAN MR"/>
    <s v="ITZJAH"/>
    <s v="EY"/>
    <d v="2025-10-11T00:00:00"/>
    <d v="2025-11-06T00:00:00"/>
    <m/>
    <m/>
    <s v="X"/>
    <d v="2025-09-08T00:00:00"/>
    <s v="TK"/>
    <n v="547.22"/>
    <n v="675"/>
    <m/>
    <n v="1"/>
    <n v="127.77999999999997"/>
    <x v="8"/>
  </r>
  <r>
    <s v="HUSSAIN/ESHAL MS*YTH"/>
    <s v="CDVHFS"/>
    <s v="EY"/>
    <d v="2025-10-12T00:00:00"/>
    <d v="2025-11-06T00:00:00"/>
    <m/>
    <m/>
    <s v="X"/>
    <d v="2025-09-10T00:00:00"/>
    <s v="TK"/>
    <n v="954.44"/>
    <n v="1390"/>
    <m/>
    <n v="1"/>
    <n v="435.55999999999995"/>
    <x v="8"/>
  </r>
  <r>
    <s v="ALI/KANEEZ FATIMA MRS"/>
    <s v="HKYRZS"/>
    <s v="TK"/>
    <d v="2025-09-17T00:00:00"/>
    <d v="2025-10-05T00:00:00"/>
    <m/>
    <m/>
    <s v="X"/>
    <d v="2025-09-13T00:00:00"/>
    <s v="TK"/>
    <n v="574.58000000000004"/>
    <n v="645"/>
    <m/>
    <n v="0.5"/>
    <n v="70.419999999999959"/>
    <x v="8"/>
  </r>
  <r>
    <s v="ALI/MOHAMMED AKBAR MR"/>
    <s v="MFZKOS"/>
    <s v="TK"/>
    <d v="2025-09-17T00:00:00"/>
    <d v="2025-10-05T00:00:00"/>
    <m/>
    <m/>
    <s v="X"/>
    <d v="2025-09-13T00:00:00"/>
    <s v="TK"/>
    <n v="574.58000000000004"/>
    <n v="645"/>
    <m/>
    <n v="0.5"/>
    <n v="70.419999999999959"/>
    <x v="8"/>
  </r>
  <r>
    <s v="KHAN/MUHAMMAD AFTAB ALAM MR"/>
    <s v="KFNZAK"/>
    <s v="EY"/>
    <d v="2025-11-05T00:00:00"/>
    <d v="2025-12-12T00:00:00"/>
    <m/>
    <m/>
    <s v="X"/>
    <d v="2025-09-13T00:00:00"/>
    <s v="TK"/>
    <n v="524.91999999999996"/>
    <n v="595"/>
    <m/>
    <n v="0.5"/>
    <n v="70.080000000000041"/>
    <x v="8"/>
  </r>
  <r>
    <s v="KAYANI/TARIQ MAHMOOD MR"/>
    <s v="GAXKUS"/>
    <s v="QR"/>
    <d v="2025-10-01T00:00:00"/>
    <d v="2025-11-28T00:00:00"/>
    <m/>
    <m/>
    <s v="X"/>
    <d v="2025-09-16T00:00:00"/>
    <s v="TK"/>
    <n v="576.41999999999996"/>
    <n v="645"/>
    <m/>
    <n v="1"/>
    <n v="68.580000000000041"/>
    <x v="8"/>
  </r>
  <r>
    <s v="BI/EIMAN MRS"/>
    <s v="LWADWP"/>
    <s v="AI"/>
    <d v="2025-09-23T00:00:00"/>
    <m/>
    <m/>
    <m/>
    <s v="X"/>
    <d v="2025-09-16T00:00:00"/>
    <s v="TK"/>
    <n v="418.7"/>
    <n v="495"/>
    <m/>
    <n v="1"/>
    <n v="76.300000000000011"/>
    <x v="8"/>
  </r>
  <r>
    <s v="RAJA/MUHAMMAD SADIQ MR"/>
    <s v="YENIZD"/>
    <s v="QR"/>
    <d v="2025-09-23T00:00:00"/>
    <m/>
    <m/>
    <m/>
    <s v="X"/>
    <d v="2025-09-16T00:00:00"/>
    <s v="TK"/>
    <n v="684.02"/>
    <n v="780"/>
    <m/>
    <n v="2"/>
    <n v="95.980000000000018"/>
    <x v="8"/>
  </r>
  <r>
    <s v="JAFARI/SYED GULISTAN HAIDER MR"/>
    <s v="OIHWCR"/>
    <s v="GF"/>
    <d v="2025-10-03T00:00:00"/>
    <m/>
    <m/>
    <m/>
    <s v="X"/>
    <d v="2025-09-18T00:00:00"/>
    <s v="TK"/>
    <n v="327.7"/>
    <n v="330"/>
    <m/>
    <n v="0"/>
    <n v="2.3000000000000114"/>
    <x v="8"/>
  </r>
  <r>
    <s v="KAUSAR/ROBINA MRS"/>
    <s v="NUBDNE"/>
    <s v="EY"/>
    <d v="2025-10-05T00:00:00"/>
    <d v="2025-11-14T00:00:00"/>
    <m/>
    <m/>
    <s v="X"/>
    <d v="2025-09-18T00:00:00"/>
    <s v="TK"/>
    <n v="570.32000000000005"/>
    <n v="1140.6400000000001"/>
    <m/>
    <n v="1"/>
    <n v="570.32000000000005"/>
    <x v="8"/>
  </r>
  <r>
    <s v="BI/EIMAN MRS"/>
    <s v="SEMNKN"/>
    <s v="TG"/>
    <d v="2025-09-23T00:00:00"/>
    <m/>
    <m/>
    <m/>
    <s v="X"/>
    <d v="2025-09-19T00:00:00"/>
    <s v="TK"/>
    <n v="486.6"/>
    <n v="520"/>
    <m/>
    <n v="1"/>
    <n v="33.399999999999977"/>
    <x v="8"/>
  </r>
  <r>
    <s v="ZAMAN/NASIR UZ MR"/>
    <s v="QMSQSW"/>
    <s v="QR"/>
    <d v="2025-10-11T00:00:00"/>
    <d v="2025-11-13T00:00:00"/>
    <m/>
    <m/>
    <s v="X"/>
    <d v="2025-09-19T00:00:00"/>
    <s v="TK"/>
    <n v="563.91999999999996"/>
    <n v="625"/>
    <m/>
    <n v="1"/>
    <n v="61.080000000000041"/>
    <x v="8"/>
  </r>
  <r>
    <s v="NEKKHAVI/ASJAD ALI MR"/>
    <s v="FHVQOO"/>
    <s v="SV"/>
    <d v="2025-11-18T00:00:00"/>
    <d v="2025-12-26T00:00:00"/>
    <m/>
    <m/>
    <s v="X"/>
    <d v="2025-09-24T00:00:00"/>
    <s v="TK"/>
    <n v="1058.76"/>
    <n v="1195"/>
    <m/>
    <n v="3"/>
    <n v="136.24"/>
    <x v="8"/>
  </r>
  <r>
    <s v="HUSSAIN/BASHARAT MR"/>
    <s v="INWAQW"/>
    <s v="BA"/>
    <d v="2025-11-14T00:00:00"/>
    <d v="2025-02-14T00:00:00"/>
    <m/>
    <m/>
    <s v="X"/>
    <d v="2025-09-24T00:00:00"/>
    <s v="TK"/>
    <n v="583.88"/>
    <n v="645"/>
    <m/>
    <n v="1"/>
    <n v="61.120000000000005"/>
    <x v="8"/>
  </r>
  <r>
    <s v="SHAH/SYED IJAZ HUSSAIN MR"/>
    <s v="HGWSVU"/>
    <s v="BA"/>
    <d v="2025-11-04T00:00:00"/>
    <d v="2025-12-03T00:00:00"/>
    <m/>
    <m/>
    <s v="X"/>
    <d v="2025-09-25T00:00:00"/>
    <s v="TK"/>
    <n v="703.88"/>
    <n v="750"/>
    <m/>
    <n v="0.5"/>
    <n v="46.120000000000005"/>
    <x v="8"/>
  </r>
  <r>
    <s v="BI/FATIMA MRS"/>
    <s v="IIHYXD"/>
    <s v="SV"/>
    <d v="2025-11-13T00:00:00"/>
    <d v="2025-12-07T00:00:00"/>
    <m/>
    <m/>
    <s v="X"/>
    <d v="2025-09-29T00:00:00"/>
    <s v="TK"/>
    <n v="1029.24"/>
    <n v="1150"/>
    <m/>
    <n v="2"/>
    <n v="120.75999999999999"/>
    <x v="8"/>
  </r>
  <r>
    <s v="MOHAMANDI/OBAIDULLAH MR"/>
    <s v="DQKJXD"/>
    <s v="J2"/>
    <d v="2025-10-01T00:00:00"/>
    <m/>
    <m/>
    <m/>
    <s v="X"/>
    <d v="2025-09-29T00:00:00"/>
    <s v="TK"/>
    <n v="266.68"/>
    <n v="325"/>
    <m/>
    <n v="1"/>
    <n v="58.319999999999993"/>
    <x v="8"/>
  </r>
  <r>
    <s v="NAQVI/ALIZA ZAHRA MS"/>
    <s v="QFWZXM"/>
    <s v="PC"/>
    <d v="2025-10-05T00:00:00"/>
    <d v="2025-11-05T00:00:00"/>
    <m/>
    <m/>
    <s v="X"/>
    <d v="2025-09-30T00:00:00"/>
    <s v="TK"/>
    <n v="440.96"/>
    <n v="495"/>
    <m/>
    <n v="0.5"/>
    <n v="54.04000000000002"/>
    <x v="8"/>
  </r>
  <r>
    <s v="HUSSAIN/KHADIM MR"/>
    <s v="LVJDBW"/>
    <s v="SV"/>
    <d v="2025-10-26T00:00:00"/>
    <d v="2025-11-09T00:00:00"/>
    <m/>
    <m/>
    <s v="X"/>
    <d v="2025-10-01T00:00:00"/>
    <s v="TK"/>
    <n v="683.02"/>
    <n v="1366.04"/>
    <m/>
    <n v="0"/>
    <n v="683.02"/>
    <x v="9"/>
  </r>
  <r>
    <s v="ANWAR/FARZANA MRS"/>
    <s v="ERNBAE"/>
    <s v="VS/SV"/>
    <d v="2025-12-24T00:00:00"/>
    <d v="2025-12-31T00:00:00"/>
    <m/>
    <m/>
    <s v="X"/>
    <d v="2025-10-02T00:00:00"/>
    <s v="TK"/>
    <n v="2399.46"/>
    <n v="2500"/>
    <m/>
    <n v="3"/>
    <n v="100.53999999999996"/>
    <x v="9"/>
  </r>
  <r>
    <s v="ANWAR/UZMA ALEEM MRS"/>
    <s v="QMDCOE"/>
    <s v="VS/SV"/>
    <d v="2025-12-24T00:00:00"/>
    <d v="2025-12-31T00:00:00"/>
    <m/>
    <m/>
    <s v="X"/>
    <d v="2025-10-02T00:00:00"/>
    <s v="TK"/>
    <n v="2411.46"/>
    <n v="2500"/>
    <m/>
    <n v="3"/>
    <n v="88.539999999999964"/>
    <x v="9"/>
  </r>
  <r>
    <s v="SHAH/GHULAM HUSNAIN ALI MR"/>
    <s v="OLOPXR"/>
    <s v="KU"/>
    <d v="2025-03-20T00:00:00"/>
    <d v="2025-04-15T00:00:00"/>
    <m/>
    <m/>
    <s v="X"/>
    <d v="2025-10-03T00:00:00"/>
    <s v="DC"/>
    <n v="39"/>
    <n v="395"/>
    <m/>
    <n v="2.5"/>
    <n v="356"/>
    <x v="9"/>
  </r>
  <r>
    <s v="HUSSAIN/FAKHARA MRS"/>
    <s v="FYTKDR"/>
    <s v="BA"/>
    <d v="2025-10-13T00:00:00"/>
    <d v="2025-11-12T00:00:00"/>
    <m/>
    <m/>
    <s v="X"/>
    <d v="2025-10-03T00:00:00"/>
    <s v="TK"/>
    <n v="1154.08"/>
    <n v="1445"/>
    <m/>
    <n v="1"/>
    <n v="290.92000000000007"/>
    <x v="9"/>
  </r>
  <r>
    <s v="NOMAN/MUHAMMAD MR"/>
    <s v="NZLFXF"/>
    <s v="TK"/>
    <d v="2025-11-12T00:00:00"/>
    <m/>
    <m/>
    <m/>
    <s v="X"/>
    <d v="2025-10-04T00:00:00"/>
    <s v="DC"/>
    <n v="49"/>
    <n v="175"/>
    <m/>
    <n v="0.5"/>
    <n v="126"/>
    <x v="9"/>
  </r>
  <r>
    <s v="GHANI/UMAIR MR"/>
    <s v="CNOGZD"/>
    <s v="BA"/>
    <d v="2025-11-24T00:00:00"/>
    <m/>
    <m/>
    <m/>
    <s v="X"/>
    <d v="2025-10-04T00:00:00"/>
    <s v="DC"/>
    <n v="186"/>
    <n v="295"/>
    <m/>
    <n v="0.5"/>
    <n v="109"/>
    <x v="9"/>
  </r>
  <r>
    <s v="IQBAL/JAVED MR"/>
    <s v="JFHPPP"/>
    <s v="SV"/>
    <d v="2025-11-06T00:00:00"/>
    <d v="2025-02-04T00:00:00"/>
    <m/>
    <m/>
    <s v="X"/>
    <d v="2025-10-04T00:00:00"/>
    <s v="TK"/>
    <n v="999.04"/>
    <n v="1100"/>
    <m/>
    <n v="1"/>
    <n v="100.96000000000004"/>
    <x v="9"/>
  </r>
  <r>
    <s v="MALIK/SHAHWAIZ MR"/>
    <s v="UJWUNM"/>
    <s v="PK"/>
    <d v="2025-11-15T00:00:00"/>
    <m/>
    <m/>
    <m/>
    <s v="X"/>
    <d v="2025-10-06T00:00:00"/>
    <s v="TK"/>
    <n v="352"/>
    <n v="425"/>
    <m/>
    <n v="0.5"/>
    <n v="73"/>
    <x v="9"/>
  </r>
  <r>
    <s v="KAZIM/SYEDA NABILA MRS"/>
    <s v="UJPICF"/>
    <s v="PK"/>
    <d v="2025-11-01T00:00:00"/>
    <d v="2025-11-15T00:00:00"/>
    <m/>
    <m/>
    <s v="X"/>
    <d v="2025-10-06T00:00:00"/>
    <s v="TK"/>
    <n v="697.07"/>
    <n v="745"/>
    <m/>
    <n v="0.5"/>
    <n v="47.92999999999995"/>
    <x v="9"/>
  </r>
  <r>
    <s v="MOHAMANDI/OBAIDULLAH MR"/>
    <s v="NYCWIW"/>
    <s v="EK"/>
    <d v="2025-10-19T00:00:00"/>
    <m/>
    <m/>
    <m/>
    <s v="X"/>
    <d v="2025-10-06T00:00:00"/>
    <s v="TK"/>
    <n v="329.8"/>
    <n v="385"/>
    <m/>
    <n v="1"/>
    <n v="55.199999999999989"/>
    <x v="9"/>
  </r>
  <r>
    <s v="KAZMI/NADEEM ABBAS MR"/>
    <s v="JKKMJJ"/>
    <s v="EK"/>
    <d v="2025-10-10T00:00:00"/>
    <d v="2025-10-14T00:00:00"/>
    <m/>
    <m/>
    <s v="X"/>
    <d v="2025-10-09T00:00:00"/>
    <s v="TK"/>
    <n v="611.41999999999996"/>
    <n v="695"/>
    <m/>
    <n v="0"/>
    <n v="83.580000000000041"/>
    <x v="9"/>
  </r>
  <r>
    <s v="GULSHAD/MOHAMMED MR"/>
    <s v="WELYEO"/>
    <s v="BA"/>
    <d v="2025-10-15T00:00:00"/>
    <d v="2025-11-26T00:00:00"/>
    <m/>
    <m/>
    <s v="X"/>
    <d v="2025-10-09T00:00:00"/>
    <s v="TK"/>
    <n v="1306.08"/>
    <n v="1370"/>
    <m/>
    <n v="1"/>
    <n v="63.920000000000073"/>
    <x v="9"/>
  </r>
  <r>
    <s v="SHAH/SYED ATHAR HUSSAIN MR"/>
    <s v="MPYABM"/>
    <s v="BA"/>
    <d v="2025-10-15T00:00:00"/>
    <d v="2025-11-26T00:00:00"/>
    <m/>
    <m/>
    <s v="X"/>
    <d v="2025-10-09T00:00:00"/>
    <s v="TK"/>
    <n v="1341.08"/>
    <n v="1395"/>
    <m/>
    <n v="1"/>
    <n v="53.920000000000073"/>
    <x v="9"/>
  </r>
  <r>
    <s v="HUSSAIN SHAH/SYED INTIZA MR"/>
    <s v="AKVUKY"/>
    <s v="EK"/>
    <d v="2025-10-13T00:00:00"/>
    <d v="2025-11-19T00:00:00"/>
    <m/>
    <m/>
    <s v="X"/>
    <d v="2025-10-10T00:00:00"/>
    <s v="TK"/>
    <n v="768.71"/>
    <n v="825"/>
    <m/>
    <n v="0.5"/>
    <n v="56.289999999999964"/>
    <x v="9"/>
  </r>
  <r>
    <s v="TARIQ/SABA MRS"/>
    <s v="QEKZOU"/>
    <s v="EK"/>
    <d v="2025-10-21T00:00:00"/>
    <d v="2025-10-28T00:00:00"/>
    <m/>
    <m/>
    <s v="X"/>
    <d v="2025-10-14T00:00:00"/>
    <s v="TK"/>
    <n v="853.56"/>
    <n v="905"/>
    <m/>
    <n v="1"/>
    <n v="51.440000000000055"/>
    <x v="9"/>
  </r>
  <r>
    <s v="ZAHRA/SHAMA MUNIR MRS"/>
    <s v="WCLGGH"/>
    <s v="TK"/>
    <d v="2025-01-27T00:00:00"/>
    <m/>
    <m/>
    <m/>
    <s v="X"/>
    <d v="2025-10-15T00:00:00"/>
    <s v="DC"/>
    <n v="110"/>
    <n v="195"/>
    <m/>
    <n v="0.5"/>
    <n v="85"/>
    <x v="9"/>
  </r>
  <r>
    <s v="ZAIDI/KAMAL HAIDER MR"/>
    <s v="FGUUJD"/>
    <s v="SV"/>
    <d v="2025-11-09T00:00:00"/>
    <m/>
    <m/>
    <m/>
    <s v="X"/>
    <d v="2025-10-16T00:00:00"/>
    <s v="TK"/>
    <n v="733.22"/>
    <n v="795"/>
    <m/>
    <n v="0.5"/>
    <n v="61.779999999999973"/>
    <x v="9"/>
  </r>
  <r>
    <s v="ABBAS/SYED ZAFAR MR"/>
    <s v="SQYRFC"/>
    <s v="SV"/>
    <d v="2025-12-02T00:00:00"/>
    <d v="2025-12-28T00:00:00"/>
    <m/>
    <m/>
    <s v="X"/>
    <d v="2025-10-17T00:00:00"/>
    <s v="TK"/>
    <n v="988.44"/>
    <n v="1150"/>
    <m/>
    <n v="1"/>
    <n v="161.55999999999995"/>
    <x v="9"/>
  </r>
  <r>
    <s v="CABUNILAS/ELSA MORRIE MRS"/>
    <s v="UFSOML"/>
    <s v="QR"/>
    <d v="2025-12-08T00:00:00"/>
    <d v="2025-01-05T00:00:00"/>
    <m/>
    <m/>
    <s v="X"/>
    <d v="2025-10-18T00:00:00"/>
    <s v="TK"/>
    <n v="1764.72"/>
    <n v="3112.44"/>
    <m/>
    <n v="1"/>
    <n v="1347.72"/>
    <x v="9"/>
  </r>
  <r>
    <s v="GHANI/ABDUL MR"/>
    <s v="OFYBWE"/>
    <s v="BA"/>
    <d v="2025-11-24T00:00:00"/>
    <m/>
    <m/>
    <m/>
    <s v="X"/>
    <d v="2025-10-18T00:00:00"/>
    <s v="DC"/>
    <n v="191"/>
    <n v="320"/>
    <m/>
    <n v="0.5"/>
    <n v="129"/>
    <x v="9"/>
  </r>
  <r>
    <s v="AMIN/ASMA MRS"/>
    <s v="YHWBJO"/>
    <s v="EK"/>
    <d v="2025-10-26T00:00:00"/>
    <d v="2025-11-15T00:00:00"/>
    <m/>
    <m/>
    <s v="X"/>
    <d v="2025-10-21T00:00:00"/>
    <s v="TK"/>
    <n v="1652.4"/>
    <n v="1740"/>
    <m/>
    <n v="2"/>
    <n v="87.599999999999909"/>
    <x v="9"/>
  </r>
  <r>
    <s v="MEHMOOD/KHIZAR MR"/>
    <s v="HAIDGR"/>
    <s v="QR"/>
    <d v="2025-11-08T00:00:00"/>
    <d v="2025-11-29T00:00:00"/>
    <m/>
    <m/>
    <s v="X"/>
    <d v="2025-10-21T00:00:00"/>
    <s v="TK"/>
    <n v="591.41999999999996"/>
    <n v="645"/>
    <m/>
    <n v="1"/>
    <n v="53.580000000000041"/>
    <x v="9"/>
  </r>
  <r>
    <s v="KAZMI/SYEDA MEHAK ZAHRA MS"/>
    <s v="EHINMW"/>
    <s v="GF"/>
    <d v="2025-11-26T00:00:00"/>
    <m/>
    <m/>
    <m/>
    <s v="X"/>
    <d v="2025-10-22T00:00:00"/>
    <s v="TK"/>
    <n v="617.20000000000005"/>
    <n v="730"/>
    <m/>
    <n v="1"/>
    <n v="112.79999999999995"/>
    <x v="9"/>
  </r>
  <r>
    <s v="IMRAN/SOFIA MRS"/>
    <s v="DTECXK"/>
    <s v="SV"/>
    <d v="2025-11-11T00:00:00"/>
    <d v="2025-01-27T00:00:00"/>
    <m/>
    <m/>
    <s v="X"/>
    <d v="2025-10-22T00:00:00"/>
    <s v="TK"/>
    <n v="793.24"/>
    <n v="890"/>
    <m/>
    <n v="2"/>
    <n v="96.759999999999991"/>
    <x v="9"/>
  </r>
  <r>
    <s v="KHADIJA/GHULAM MRS"/>
    <s v="MWGIZT"/>
    <s v="BA"/>
    <d v="2025-12-05T00:00:00"/>
    <m/>
    <m/>
    <m/>
    <s v="X"/>
    <d v="2025-10-24T00:00:00"/>
    <s v="DC"/>
    <n v="65"/>
    <n v="195"/>
    <m/>
    <n v="0.5"/>
    <n v="130"/>
    <x v="9"/>
  </r>
  <r>
    <s v="BASHIR/MOHAMMED MR"/>
    <s v="JHQBFH"/>
    <s v="QR"/>
    <d v="2025-10-28T00:00:00"/>
    <d v="2025-12-09T00:00:00"/>
    <m/>
    <m/>
    <s v="X"/>
    <d v="2025-10-24T00:00:00"/>
    <s v="TK"/>
    <n v="856.82"/>
    <n v="925"/>
    <m/>
    <n v="0.5"/>
    <n v="68.17999999999995"/>
    <x v="9"/>
  </r>
  <r>
    <s v="KAZMI/SYED SAQLAIN MR"/>
    <s v="MAEOQX"/>
    <s v="SV"/>
    <d v="2025-11-20T00:00:00"/>
    <d v="2025-11-14T00:00:00"/>
    <m/>
    <m/>
    <s v="X"/>
    <d v="2025-10-25T00:00:00"/>
    <s v="TK"/>
    <n v="620.02"/>
    <n v="695"/>
    <m/>
    <n v="0.5"/>
    <n v="74.980000000000018"/>
    <x v="10"/>
  </r>
  <r>
    <s v="KAUSAR/NAILA MRS"/>
    <s v="QHMEWH"/>
    <s v="EY"/>
    <d v="2025-10-25T00:00:00"/>
    <d v="2025-11-15T00:00:00"/>
    <m/>
    <m/>
    <s v="X"/>
    <d v="2025-10-24T00:00:00"/>
    <s v="TK"/>
    <n v="2599.64"/>
    <n v="2790"/>
    <m/>
    <n v="2"/>
    <n v="190.36000000000013"/>
    <x v="10"/>
  </r>
  <r>
    <s v="PARVEEN/SHAZIA MRS"/>
    <s v="EVGFSM"/>
    <s v="BA"/>
    <d v="2025-01-04T00:00:00"/>
    <d v="2025-02-16T00:00:00"/>
    <m/>
    <m/>
    <s v="X"/>
    <d v="2025-10-24T00:00:00"/>
    <s v="TK"/>
    <n v="831.86"/>
    <n v="930"/>
    <m/>
    <n v="2"/>
    <n v="98.139999999999986"/>
    <x v="9"/>
  </r>
  <r>
    <s v="YASIN/ABID MAHMOOD MR"/>
    <s v="EORCAJ"/>
    <s v="BA"/>
    <d v="2025-01-04T00:00:00"/>
    <d v="2025-01-12T00:00:00"/>
    <m/>
    <m/>
    <s v="X"/>
    <d v="2025-10-24T00:00:00"/>
    <s v="TK"/>
    <n v="798.88"/>
    <n v="855"/>
    <m/>
    <n v="1"/>
    <n v="56.120000000000005"/>
    <x v="9"/>
  </r>
  <r>
    <s v="YASIN/ABID MAHMOOD MR"/>
    <s v="KDHTZU"/>
    <s v="BA"/>
    <d v="2025-02-09T00:00:00"/>
    <d v="2025-02-16T00:00:00"/>
    <m/>
    <m/>
    <s v="X"/>
    <d v="2025-10-24T00:00:00"/>
    <s v="TK"/>
    <n v="702.22"/>
    <n v="755"/>
    <m/>
    <n v="1"/>
    <n v="52.779999999999973"/>
    <x v="9"/>
  </r>
  <r>
    <s v="KAZMI/SYED SAQLAIN MR"/>
    <s v="MAEOQX"/>
    <s v="SV"/>
    <d v="2025-11-20T00:00:00"/>
    <d v="2025-01-14T00:00:00"/>
    <m/>
    <m/>
    <s v="X"/>
    <d v="2025-10-25T00:00:00"/>
    <s v="TK"/>
    <n v="620.12"/>
    <n v="700"/>
    <m/>
    <n v="0.5"/>
    <n v="79.88"/>
    <x v="9"/>
  </r>
  <r>
    <s v="AZIZ/TOSIF KHALID MR"/>
    <s v="ANCGAC"/>
    <s v="EK"/>
    <d v="2025-10-28T00:00:00"/>
    <d v="2025-11-11T00:00:00"/>
    <m/>
    <m/>
    <s v="X"/>
    <d v="2025-10-27T00:00:00"/>
    <s v="TK"/>
    <n v="789.11"/>
    <n v="895"/>
    <m/>
    <n v="1"/>
    <n v="105.88999999999999"/>
    <x v="9"/>
  </r>
  <r>
    <s v="AKHTAR/NASREEN MRS"/>
    <s v="AJCQXC"/>
    <s v="BA"/>
    <d v="2025-08-25T00:00:00"/>
    <d v="2025-11-24T00:00:00"/>
    <m/>
    <m/>
    <s v="X"/>
    <d v="2025-10-27T00:00:00"/>
    <s v="DC"/>
    <n v="553"/>
    <n v="745"/>
    <m/>
    <n v="0.5"/>
    <n v="192"/>
    <x v="9"/>
  </r>
  <r>
    <s v="NABI/GHULAM MR"/>
    <s v="DKPKUS"/>
    <s v="SV"/>
    <d v="2025-07-10T00:00:00"/>
    <d v="2025-08-29T00:00:00"/>
    <m/>
    <m/>
    <s v="X"/>
    <d v="2025-10-27T00:00:00"/>
    <s v="TK"/>
    <n v="3668.84"/>
    <n v="4025"/>
    <m/>
    <n v="4"/>
    <n v="356.15999999999985"/>
    <x v="9"/>
  </r>
  <r>
    <s v="RAFIQUE/MUHAMMAD MR"/>
    <s v="SGQUKM"/>
    <s v="SV"/>
    <d v="2025-12-04T00:00:00"/>
    <d v="2025-01-16T00:00:00"/>
    <m/>
    <m/>
    <s v="X"/>
    <d v="2025-10-27T00:00:00"/>
    <s v="TK"/>
    <n v="1046.24"/>
    <n v="1190"/>
    <m/>
    <n v="2"/>
    <n v="143.76"/>
    <x v="9"/>
  </r>
  <r>
    <s v="KAZMI/HASHIM RAZA MR"/>
    <s v="GHJLTO"/>
    <s v="PC"/>
    <d v="2025-11-14T00:00:00"/>
    <d v="2025-11-28T00:00:00"/>
    <m/>
    <m/>
    <s v="X"/>
    <d v="2025-10-28T00:00:00"/>
    <s v="TK"/>
    <n v="742.64"/>
    <n v="890"/>
    <m/>
    <n v="1"/>
    <n v="147.36000000000001"/>
    <x v="9"/>
  </r>
  <r>
    <s v="HUSSAIN/ISRAR MR"/>
    <s v="QEXOGI"/>
    <s v="QR"/>
    <d v="2025-12-01T00:00:00"/>
    <d v="2025-12-28T00:00:00"/>
    <m/>
    <m/>
    <s v="X"/>
    <d v="2025-10-29T00:00:00"/>
    <s v="TK"/>
    <n v="2911.1"/>
    <n v="3195"/>
    <m/>
    <n v="5"/>
    <n v="283.90000000000009"/>
    <x v="9"/>
  </r>
  <r>
    <s v="AHMED/SHAHZAD MR"/>
    <s v="UKWOTH"/>
    <s v="QR"/>
    <d v="2025-12-04T00:00:00"/>
    <d v="2025-01-06T00:00:00"/>
    <m/>
    <m/>
    <s v="X"/>
    <d v="2025-10-30T00:00:00"/>
    <s v="TK"/>
    <n v="795.52"/>
    <n v="850"/>
    <m/>
    <n v="0.5"/>
    <n v="54.480000000000018"/>
    <x v="9"/>
  </r>
  <r>
    <s v="SADHEER/ISRA MRS"/>
    <s v="FLWVVS"/>
    <s v="EK"/>
    <d v="2025-11-09T00:00:00"/>
    <d v="2025-11-12T00:00:00"/>
    <m/>
    <m/>
    <s v="X"/>
    <d v="2025-10-30T00:00:00"/>
    <s v="TK"/>
    <n v="395.4"/>
    <n v="465"/>
    <m/>
    <n v="1"/>
    <n v="69.600000000000023"/>
    <x v="9"/>
  </r>
  <r>
    <s v="ALI/AMJID MR"/>
    <s v="KLGOSE"/>
    <s v="EK"/>
    <d v="2025-11-02T00:00:00"/>
    <m/>
    <m/>
    <m/>
    <s v="X"/>
    <d v="2025-10-30T00:00:00"/>
    <s v="TK"/>
    <n v="582.91"/>
    <n v="660"/>
    <m/>
    <n v="0.5"/>
    <n v="77.090000000000032"/>
    <x v="9"/>
  </r>
  <r>
    <s v="NAEEM/MUHAMMAD MR   "/>
    <s v="FBXASK"/>
    <s v="QR"/>
    <d v="2025-11-11T00:00:00"/>
    <d v="2025-12-23T00:00:00"/>
    <m/>
    <m/>
    <s v="X"/>
    <d v="2025-10-30T00:00:00"/>
    <s v="TK"/>
    <n v="590.52"/>
    <n v="650"/>
    <m/>
    <n v="0.5"/>
    <n v="59.480000000000018"/>
    <x v="9"/>
  </r>
  <r>
    <s v="KHALID/KHUNSHA MS"/>
    <s v="MTEPXV"/>
    <s v="QR"/>
    <d v="2025-11-13T00:00:00"/>
    <m/>
    <m/>
    <m/>
    <s v="X"/>
    <d v="2025-11-02T00:00:00"/>
    <s v="TK"/>
    <n v="519.5"/>
    <n v="575"/>
    <m/>
    <n v="1"/>
    <n v="55.5"/>
    <x v="11"/>
  </r>
  <r>
    <s v="HUSSAIN/ABRAR MR"/>
    <s v="DLSSDF"/>
    <s v="BA"/>
    <d v="2025-12-08T00:00:00"/>
    <m/>
    <m/>
    <m/>
    <s v="X"/>
    <d v="2025-11-04T00:00:00"/>
    <s v="TK"/>
    <n v="722.62"/>
    <n v="775"/>
    <m/>
    <n v="1"/>
    <n v="52.379999999999995"/>
    <x v="11"/>
  </r>
  <r>
    <s v="MASIH/EJAZ MR"/>
    <s v="FHCMUE"/>
    <s v="QR"/>
    <d v="2025-12-09T00:00:00"/>
    <m/>
    <m/>
    <m/>
    <s v="X"/>
    <d v="2025-11-05T00:00:00"/>
    <s v="TK"/>
    <n v="423.72"/>
    <n v="460"/>
    <m/>
    <n v="1"/>
    <n v="36.279999999999973"/>
    <x v="11"/>
  </r>
  <r>
    <s v="IQBAL/MOHAMMED MR"/>
    <s v="JEYUIN"/>
    <s v="QR"/>
    <d v="2025-11-13T00:00:00"/>
    <d v="2025-12-07T00:00:00"/>
    <m/>
    <m/>
    <s v="X"/>
    <d v="2025-11-06T00:00:00"/>
    <s v="TK"/>
    <n v="945.12"/>
    <n v="1025"/>
    <m/>
    <n v="1"/>
    <n v="79.88"/>
    <x v="11"/>
  </r>
  <r>
    <s v="AHMED/MUSHTAQ MR"/>
    <s v="HJIQIA"/>
    <s v="SV"/>
    <d v="2025-11-19T00:00:00"/>
    <d v="2025-11-30T00:00:00"/>
    <m/>
    <m/>
    <s v="X"/>
    <d v="2025-11-07T00:00:00"/>
    <s v="TK"/>
    <n v="620.52"/>
    <n v="675"/>
    <m/>
    <n v="5"/>
    <n v="54.480000000000018"/>
    <x v="11"/>
  </r>
  <r>
    <s v="HUSSAIN/FAKHARA MRS"/>
    <s v="FYTKDR"/>
    <s v="BA"/>
    <d v="2025-10-13T00:00:00"/>
    <d v="2025-11-12T00:00:00"/>
    <m/>
    <m/>
    <s v="X"/>
    <d v="2025-11-07T00:00:00"/>
    <s v="DC"/>
    <n v="160"/>
    <n v="295"/>
    <m/>
    <n v="1"/>
    <n v="135"/>
    <x v="11"/>
  </r>
  <r>
    <s v="AKHTAR/SHAMIM MRS"/>
    <s v="GWPQOY"/>
    <s v="BA"/>
    <d v="2025-11-25T00:00:00"/>
    <d v="2025-05-26T00:00:00"/>
    <m/>
    <m/>
    <s v="X"/>
    <d v="2025-11-09T00:00:00"/>
    <s v="TK"/>
    <n v="682.28"/>
    <n v="755"/>
    <m/>
    <n v="1"/>
    <n v="72.720000000000027"/>
    <x v="10"/>
  </r>
  <r>
    <s v="KAUSAR/NAZIA MRS"/>
    <s v="SIQLDC"/>
    <s v="BA"/>
    <d v="2025-11-11T00:00:00"/>
    <d v="2025-11-29T00:00:00"/>
    <m/>
    <m/>
    <s v="X"/>
    <d v="2025-11-10T00:00:00"/>
    <s v="TK"/>
    <n v="1016.28"/>
    <n v="1095"/>
    <m/>
    <n v="2"/>
    <n v="78.720000000000027"/>
    <x v="10"/>
  </r>
  <r>
    <s v="KHAN/GULAB MR"/>
    <s v="ODIIKT"/>
    <s v="BA"/>
    <d v="2025-01-31T00:00:00"/>
    <m/>
    <m/>
    <m/>
    <s v="X"/>
    <d v="2025-11-11T00:00:00"/>
    <s v="TK"/>
    <n v="738.32"/>
    <n v="830"/>
    <m/>
    <n v="2"/>
    <n v="91.67999999999995"/>
    <x v="10"/>
  </r>
  <r>
    <s v="KHAN/AJAZ MR"/>
    <s v="UQBYKT"/>
    <s v="EK"/>
    <d v="2025-12-17T00:00:00"/>
    <d v="2025-01-14T00:00:00"/>
    <m/>
    <m/>
    <s v="X"/>
    <d v="2025-11-12T00:00:00"/>
    <s v="TK"/>
    <n v="4873.4799999999996"/>
    <n v="5400"/>
    <m/>
    <n v="4"/>
    <n v="526.52000000000044"/>
    <x v="10"/>
  </r>
  <r>
    <s v="ARIF/FAIZA MRS"/>
    <s v="NTTSUD"/>
    <s v="QR"/>
    <d v="2025-03-20T00:00:00"/>
    <d v="2025-04-15T00:00:00"/>
    <m/>
    <m/>
    <s v="X"/>
    <d v="2025-11-13T00:00:00"/>
    <s v="TK"/>
    <n v="2131.4699999999998"/>
    <n v="2295"/>
    <m/>
    <n v="3"/>
    <n v="163.5300000000002"/>
    <x v="10"/>
  </r>
  <r>
    <s v="BEGUM/IQBAL MRS"/>
    <s v="SBTBJA"/>
    <s v="EY"/>
    <d v="2025-12-05T00:00:00"/>
    <m/>
    <m/>
    <m/>
    <s v="X"/>
    <d v="2025-11-13T00:00:00"/>
    <s v="DC"/>
    <n v="160"/>
    <n v="275"/>
    <m/>
    <n v="1"/>
    <n v="115"/>
    <x v="10"/>
  </r>
  <r>
    <s v="KHAN/TAIMUR MR"/>
    <s v="IUYRBH"/>
    <s v="EK"/>
    <d v="2025-12-17T00:00:00"/>
    <d v="2025-12-30T00:00:00"/>
    <m/>
    <m/>
    <s v="X"/>
    <d v="2025-11-14T00:00:00"/>
    <s v="TK"/>
    <n v="1289.78"/>
    <n v="1650"/>
    <m/>
    <n v="1"/>
    <n v="360.22"/>
    <x v="10"/>
  </r>
  <r>
    <s v="KAZMI/FAHMIDA MOHSIN MRS"/>
    <s v="OVWDKI"/>
    <s v="SV"/>
    <d v="2025-07-06T00:00:00"/>
    <d v="2025-08-19T00:00:00"/>
    <m/>
    <m/>
    <s v="X"/>
    <d v="2025-11-15T00:00:00"/>
    <s v="TK"/>
    <n v="1497.17"/>
    <n v="1785"/>
    <m/>
    <n v="3"/>
    <n v="287.82999999999993"/>
    <x v="10"/>
  </r>
  <r>
    <s v="KAZMI/MOHSIN MR"/>
    <s v="FFHCZI"/>
    <s v="SV"/>
    <m/>
    <d v="2025-08-19T00:00:00"/>
    <m/>
    <m/>
    <s v="X"/>
    <d v="2025-11-15T00:00:00"/>
    <s v="TK"/>
    <n v="389"/>
    <n v="445"/>
    <m/>
    <n v="1"/>
    <n v="56"/>
    <x v="10"/>
  </r>
  <r>
    <s v="SHAUKAT/AYESHA MRS"/>
    <s v="JVRIYX"/>
    <s v="PK"/>
    <d v="2025-12-25T00:00:00"/>
    <m/>
    <m/>
    <m/>
    <s v="X"/>
    <d v="2025-11-15T00:00:00"/>
    <s v="TK"/>
    <n v="1347.96"/>
    <m/>
    <m/>
    <n v="0"/>
    <n v="-1347.96"/>
    <x v="10"/>
  </r>
  <r>
    <s v="ZAHROOF/MUHAMMAD MR"/>
    <s v="NROAWY"/>
    <s v="SV"/>
    <d v="2025-01-16T00:00:00"/>
    <d v="2025-02-23T00:00:00"/>
    <m/>
    <m/>
    <s v="X"/>
    <d v="2025-11-17T00:00:00"/>
    <s v="TK"/>
    <n v="2239.0700000000002"/>
    <n v="2395"/>
    <m/>
    <n v="5"/>
    <n v="155.92999999999984"/>
    <x v="10"/>
  </r>
  <r>
    <s v="MAHMOOD DARR/SAJID MR"/>
    <s v="OAQNUU"/>
    <s v="BA"/>
    <d v="2025-01-06T00:00:00"/>
    <d v="2025-03-31T00:00:00"/>
    <m/>
    <m/>
    <s v="X"/>
    <d v="2025-11-17T00:00:00"/>
    <s v="TK"/>
    <n v="828.18"/>
    <n v="895"/>
    <m/>
    <n v="1"/>
    <n v="66.82000000000005"/>
    <x v="10"/>
  </r>
  <r>
    <s v="HUSSAIN/KHALID MR"/>
    <s v="OUVGKD"/>
    <s v="EY"/>
    <d v="2025-11-23T00:00:00"/>
    <d v="2025-12-05T00:00:00"/>
    <m/>
    <m/>
    <s v="X"/>
    <d v="2025-11-19T00:00:00"/>
    <s v="TK"/>
    <n v="3359.6"/>
    <n v="3455"/>
    <m/>
    <n v="5"/>
    <n v="95.400000000000091"/>
    <x v="10"/>
  </r>
  <r>
    <s v="AHMED/IFTIKHAR MR"/>
    <s v="JOSJPR"/>
    <s v="QR"/>
    <d v="2025-01-31T00:00:00"/>
    <d v="2025-02-14T00:00:00"/>
    <m/>
    <m/>
    <s v="X"/>
    <d v="2025-11-21T00:00:00"/>
    <s v="TK"/>
    <n v="695.59"/>
    <n v="755"/>
    <m/>
    <n v="1"/>
    <n v="59.409999999999968"/>
    <x v="10"/>
  </r>
  <r>
    <s v="AHMED/AYESHA KHAN MRS"/>
    <s v="KMSIBG"/>
    <s v="QR"/>
    <d v="2025-01-31T00:00:00"/>
    <d v="2025-02-14T00:00:00"/>
    <m/>
    <m/>
    <s v="X"/>
    <d v="2025-11-21T00:00:00"/>
    <s v="TK"/>
    <n v="695.59"/>
    <n v="770"/>
    <m/>
    <n v="1"/>
    <n v="74.409999999999968"/>
    <x v="10"/>
  </r>
  <r>
    <s v="KHADIJA/GHULAM MRS"/>
    <s v="MWGIZT"/>
    <s v="BA"/>
    <d v="2025-01-11T00:00:00"/>
    <m/>
    <m/>
    <m/>
    <s v="X"/>
    <d v="2025-11-21T00:00:00"/>
    <s v="DC"/>
    <n v="66"/>
    <n v="195"/>
    <m/>
    <n v="1"/>
    <n v="129"/>
    <x v="10"/>
  </r>
  <r>
    <s v="BATOOL/SYEDA SAIMA MRS"/>
    <s v="UWJPQW"/>
    <s v="EY"/>
    <d v="2025-06-10T00:00:00"/>
    <d v="2025-07-20T00:00:00"/>
    <m/>
    <m/>
    <s v="X"/>
    <d v="2025-11-21T00:00:00"/>
    <s v="TK"/>
    <n v="593.89"/>
    <n v="630"/>
    <m/>
    <n v="1"/>
    <n v="36.110000000000014"/>
    <x v="10"/>
  </r>
  <r>
    <s v="NAQVI/SYEDA RUKHSHINDA MRS"/>
    <s v="SVYJIK"/>
    <s v="TK"/>
    <d v="2025-01-28T00:00:00"/>
    <d v="2025-02-14T00:00:00"/>
    <m/>
    <m/>
    <s v="X"/>
    <d v="2025-11-22T00:00:00"/>
    <s v="TK"/>
    <n v="570.88"/>
    <n v="735"/>
    <m/>
    <n v="1"/>
    <n v="164.12"/>
    <x v="10"/>
  </r>
  <r>
    <s v="NAQVI/SYEDA RUKHSHINDA MRS"/>
    <s v="QWUZBY"/>
    <s v="PK"/>
    <d v="2025-02-10T00:00:00"/>
    <m/>
    <m/>
    <m/>
    <s v="X"/>
    <d v="2025-11-22T00:00:00"/>
    <s v="TK"/>
    <n v="98.9"/>
    <m/>
    <m/>
    <n v="0"/>
    <n v="-98.9"/>
    <x v="10"/>
  </r>
  <r>
    <s v="MUGHAL/SHUJAAH MONIS MR"/>
    <s v="GQPRSJ"/>
    <s v="EK"/>
    <d v="2025-01-03T00:00:00"/>
    <m/>
    <m/>
    <m/>
    <s v="X"/>
    <d v="2025-11-24T00:00:00"/>
    <s v="TK"/>
    <n v="2905.2"/>
    <m/>
    <m/>
    <n v="0"/>
    <n v="-2905.2"/>
    <x v="10"/>
  </r>
  <r>
    <s v="MEHMOOD/ZAFFAR MR"/>
    <s v="ANAMZR"/>
    <s v="VS"/>
    <d v="2025-02-11T00:00:00"/>
    <d v="2025-02-22T00:00:00"/>
    <m/>
    <m/>
    <s v="X"/>
    <d v="2025-11-25T00:00:00"/>
    <s v="TK"/>
    <n v="4173.42"/>
    <m/>
    <m/>
    <n v="0"/>
    <n v="-4173.42"/>
    <x v="10"/>
  </r>
  <r>
    <s v="SERAJEH HASANI/SOHEILA MRS"/>
    <s v="ECOSBD"/>
    <s v="EK"/>
    <d v="2025-12-03T00:00:00"/>
    <m/>
    <m/>
    <m/>
    <s v="X"/>
    <d v="2025-11-30T00:00:00"/>
    <s v="TK"/>
    <n v="511.37"/>
    <n v="560.44000000000005"/>
    <m/>
    <n v="2"/>
    <n v="49.07000000000005"/>
    <x v="10"/>
  </r>
  <r>
    <s v="ASARIA/FATIMABAI PYARALI HASSANALLI MS"/>
    <s v="YWBDUJ"/>
    <s v="GF"/>
    <d v="2025-01-01T00:00:00"/>
    <m/>
    <m/>
    <m/>
    <s v="X"/>
    <d v="2025-12-01T00:00:00"/>
    <s v="TK"/>
    <n v="2640"/>
    <n v="2940"/>
    <m/>
    <n v="3"/>
    <n v="300"/>
    <x v="10"/>
  </r>
  <r>
    <s v="HUSSAIN/FAKHARA MRS"/>
    <s v="FYTKDR"/>
    <s v="BA"/>
    <d v="2025-10-13T00:00:00"/>
    <d v="2025-11-12T00:00:00"/>
    <m/>
    <m/>
    <s v="X"/>
    <d v="2025-12-04T00:00:00"/>
    <s v="DC"/>
    <n v="155"/>
    <n v="275"/>
    <m/>
    <n v="1"/>
    <n v="120"/>
    <x v="10"/>
  </r>
  <r>
    <s v="MAHMOOD/KHALID MR"/>
    <s v="QZOIRH"/>
    <s v="VS/SV"/>
    <d v="2025-02-14T00:00:00"/>
    <d v="2025-02-23T00:00:00"/>
    <m/>
    <m/>
    <s v="X"/>
    <d v="2025-12-04T00:00:00"/>
    <s v="TK"/>
    <n v="1753.17"/>
    <n v="1925"/>
    <m/>
    <n v="3"/>
    <n v="171.82999999999993"/>
    <x v="10"/>
  </r>
  <r>
    <s v="SADIQ/FARZANA MRS"/>
    <s v="HBSDLA"/>
    <s v="PC"/>
    <d v="2025-01-02T00:00:00"/>
    <m/>
    <m/>
    <m/>
    <s v="X"/>
    <d v="2025-12-04T00:00:00"/>
    <s v="TK"/>
    <n v="1389"/>
    <n v="1495"/>
    <m/>
    <n v="2"/>
    <n v="106"/>
    <x v="10"/>
  </r>
  <r>
    <s v="SADIQ/FARZANA MRS"/>
    <s v="LFFTZM"/>
    <s v="QR"/>
    <d v="2025-12-18T00:00:00"/>
    <m/>
    <m/>
    <m/>
    <s v="X"/>
    <d v="2025-12-05T00:00:00"/>
    <s v="TK "/>
    <n v="1259.74"/>
    <n v="1345"/>
    <m/>
    <n v="2"/>
    <n v="85.259999999999991"/>
    <x v="10"/>
  </r>
  <r>
    <s v="SHAHZAD/KHURRAM MR"/>
    <s v="MJVQVX"/>
    <s v="EK"/>
    <d v="2025-12-23T00:00:00"/>
    <m/>
    <m/>
    <m/>
    <s v="X"/>
    <d v="2025-12-16T00:00:00"/>
    <s v="TK"/>
    <n v="2556.8000000000002"/>
    <n v="2695"/>
    <m/>
    <n v="8"/>
    <n v="138.19999999999982"/>
    <x v="10"/>
  </r>
  <r>
    <s v="SHAHZAD/KHURRAM MR"/>
    <s v="SVGWIQ"/>
    <s v="QR"/>
    <d v="2025-12-13T00:00:00"/>
    <m/>
    <m/>
    <m/>
    <s v="X"/>
    <d v="2025-12-07T00:00:00"/>
    <s v="TK"/>
    <n v="573.52"/>
    <n v="645"/>
    <m/>
    <n v="1"/>
    <n v="71.480000000000018"/>
    <x v="10"/>
  </r>
  <r>
    <s v="IFTIKHAR/MUHAMMAD MR"/>
    <s v="WXACZU"/>
    <s v="BA"/>
    <d v="2025-12-17T00:00:00"/>
    <m/>
    <m/>
    <m/>
    <s v="X"/>
    <d v="2025-12-07T00:00:00"/>
    <s v="TK"/>
    <n v="563.79999999999995"/>
    <n v="640"/>
    <m/>
    <n v="1"/>
    <n v="76.200000000000045"/>
    <x v="10"/>
  </r>
  <r>
    <s v="IFTIKHAR/MUHAMMAD MR"/>
    <s v="GQOXZI"/>
    <s v="SV"/>
    <d v="2025-03-24T00:00:00"/>
    <m/>
    <m/>
    <m/>
    <s v="X"/>
    <d v="2025-12-12T00:00:00"/>
    <s v="TK"/>
    <n v="444.99"/>
    <n v="510"/>
    <m/>
    <n v="1"/>
    <n v="65.009999999999991"/>
    <x v="10"/>
  </r>
  <r>
    <s v="BI/JAMILA MRS"/>
    <s v="AAEJHB"/>
    <s v="KU"/>
    <d v="2025-04-19T00:00:00"/>
    <d v="2025-05-30T00:00:00"/>
    <m/>
    <m/>
    <s v="X"/>
    <d v="2025-12-15T00:00:00"/>
    <s v="TK"/>
    <n v="1905.87"/>
    <n v="2085"/>
    <m/>
    <n v="3"/>
    <n v="179.13000000000011"/>
    <x v="10"/>
  </r>
  <r>
    <s v="FATIMA/SYEDA SADAF TAQREEZ MRS"/>
    <s v="JPUILP"/>
    <s v="KU"/>
    <d v="2025-03-13T00:00:00"/>
    <d v="2025-04-26T00:00:00"/>
    <m/>
    <m/>
    <s v="X"/>
    <d v="2025-12-16T00:00:00"/>
    <s v="TK"/>
    <n v="2215.56"/>
    <n v="2490"/>
    <m/>
    <n v="4"/>
    <n v="274.44000000000005"/>
    <x v="10"/>
  </r>
  <r>
    <s v="NASREEN/SHAMA MRS"/>
    <s v="QDBLEJ"/>
    <s v="QR"/>
    <d v="2025-01-24T00:00:00"/>
    <m/>
    <m/>
    <m/>
    <s v="X"/>
    <d v="2025-12-17T00:00:00"/>
    <s v="TK"/>
    <n v="599.6"/>
    <n v="700"/>
    <m/>
    <n v="2"/>
    <n v="100.39999999999998"/>
    <x v="10"/>
  </r>
  <r>
    <s v="KHAN/MOHAMMED MOAZAM MR"/>
    <s v="KEPMIS"/>
    <s v="BA"/>
    <d v="2025-12-30T00:00:00"/>
    <d v="2025-03-28T00:00:00"/>
    <m/>
    <m/>
    <s v="X"/>
    <d v="2025-12-19T00:00:00"/>
    <s v="TK"/>
    <n v="819.58"/>
    <n v="895"/>
    <m/>
    <n v="1"/>
    <n v="75.419999999999959"/>
    <x v="10"/>
  </r>
  <r>
    <s v="BIBI/SALMA MRS"/>
    <s v="LQVTOM"/>
    <s v="QR"/>
    <d v="2025-01-19T00:00:00"/>
    <m/>
    <m/>
    <m/>
    <s v="X"/>
    <d v="2025-12-21T00:00:00"/>
    <s v="TK"/>
    <n v="530.6"/>
    <n v="645"/>
    <m/>
    <n v="2"/>
    <n v="114.39999999999998"/>
    <x v="10"/>
  </r>
  <r>
    <s v="SHAH/MAJID HUSSAIN MR"/>
    <s v="IALOAM"/>
    <s v="SV"/>
    <d v="2025-12-29T00:00:00"/>
    <d v="2025-02-10T00:00:00"/>
    <m/>
    <m/>
    <s v="X"/>
    <d v="2025-12-21T00:00:00"/>
    <s v="TK"/>
    <n v="694.32"/>
    <n v="795"/>
    <m/>
    <n v="1"/>
    <n v="100.67999999999995"/>
    <x v="10"/>
  </r>
  <r>
    <s v="QAISAR/MISBAH MRS"/>
    <s v="JTNVPF"/>
    <s v="EY"/>
    <d v="2025-01-03T00:00:00"/>
    <m/>
    <m/>
    <m/>
    <s v="X"/>
    <d v="2025-12-22T00:00:00"/>
    <s v="TK"/>
    <n v="397.19"/>
    <n v="465"/>
    <m/>
    <n v="1"/>
    <n v="67.81"/>
    <x v="10"/>
  </r>
  <r>
    <s v="WAHEED/SYED ABDUL MR"/>
    <s v="ONBNDP"/>
    <s v="TK"/>
    <d v="2025-04-08T00:00:00"/>
    <m/>
    <m/>
    <m/>
    <s v="X"/>
    <d v="2025-12-22T00:00:00"/>
    <s v="TK"/>
    <n v="1051"/>
    <n v="1150"/>
    <m/>
    <n v="5"/>
    <n v="99"/>
    <x v="10"/>
  </r>
  <r>
    <s v="SHAHEEN/SEEMA MRS"/>
    <s v="UDGTRM"/>
    <s v="GF"/>
    <d v="2025-03-11T00:00:00"/>
    <m/>
    <m/>
    <m/>
    <s v="X"/>
    <d v="2025-12-24T00:00:00"/>
    <s v="TK"/>
    <n v="1153.76"/>
    <n v="1295"/>
    <m/>
    <n v="5"/>
    <n v="141.24"/>
    <x v="10"/>
  </r>
  <r>
    <s v="MAHMOOD/MUDDASSAR MR"/>
    <s v="DSWSZJ"/>
    <s v="GF"/>
    <d v="2025-03-11T00:00:00"/>
    <m/>
    <m/>
    <m/>
    <s v="X"/>
    <d v="2025-12-24T00:00:00"/>
    <s v="TK"/>
    <n v="745.38"/>
    <n v="890"/>
    <m/>
    <n v="2"/>
    <n v="144.62"/>
    <x v="10"/>
  </r>
  <r>
    <s v="Zainab/Syeda Rida Mr"/>
    <s v="IGFBMM"/>
    <s v="QR"/>
    <d v="2025-04-05T00:00:00"/>
    <m/>
    <m/>
    <m/>
    <s v="X"/>
    <d v="2025-12-03T00:00:00"/>
    <s v="TK"/>
    <n v="389.09"/>
    <m/>
    <m/>
    <n v="0"/>
    <n v="-389.09"/>
    <x v="10"/>
  </r>
  <r>
    <s v="AHMAD/SAJJAD MR"/>
    <s v="ODICLM"/>
    <s v="TK"/>
    <d v="2025-12-29T00:00:00"/>
    <d v="2025-01-19T00:00:00"/>
    <m/>
    <m/>
    <s v="X"/>
    <d v="2025-12-29T00:00:00"/>
    <s v="TK"/>
    <n v="1236.52"/>
    <n v="1395"/>
    <m/>
    <n v="1"/>
    <n v="158.48000000000002"/>
    <x v="10"/>
  </r>
  <r>
    <s v="GHAFOOR/MIRZA ABDUL MR"/>
    <s v="CEGZOE"/>
    <s v="PK"/>
    <d v="2025-07-17T00:00:00"/>
    <d v="2025-08-28T00:00:00"/>
    <m/>
    <m/>
    <s v="X"/>
    <d v="2025-12-29T00:00:00"/>
    <s v="TK"/>
    <n v="3937.45"/>
    <n v="4200"/>
    <m/>
    <n v="5"/>
    <n v="262.55000000000018"/>
    <x v="10"/>
  </r>
  <r>
    <s v="BIBI/BUSHRA MRS"/>
    <s v="LCXBIN"/>
    <s v="PK"/>
    <d v="2025-04-27T00:00:00"/>
    <d v="2025-05-20T00:00:00"/>
    <m/>
    <m/>
    <s v="X"/>
    <d v="2025-12-30T00:00:00"/>
    <s v="TK"/>
    <n v="1997.67"/>
    <n v="2295"/>
    <m/>
    <n v="3"/>
    <n v="297.32999999999993"/>
    <x v="10"/>
  </r>
  <r>
    <s v="AFZAL/MOHAMMED MR"/>
    <s v="LAROZG"/>
    <s v="PK"/>
    <d v="2025-04-27T00:00:00"/>
    <m/>
    <m/>
    <m/>
    <s v="X"/>
    <d v="2025-12-30T00:00:00"/>
    <s v="TK"/>
    <n v="479.09"/>
    <n v="525"/>
    <m/>
    <n v="1"/>
    <n v="45.910000000000025"/>
    <x v="10"/>
  </r>
  <r>
    <s v="HAMDANI/SYEDA HAJRA MRS"/>
    <s v="FXDJUO"/>
    <s v="PK"/>
    <d v="2026-03-30T00:00:00"/>
    <d v="2026-04-12T00:00:00"/>
    <m/>
    <m/>
    <s v="X"/>
    <d v="2026-12-31T00:00:00"/>
    <s v="TK"/>
    <n v="1785.78"/>
    <n v="1870"/>
    <m/>
    <n v="2"/>
    <n v="84.220000000000027"/>
    <x v="10"/>
  </r>
  <r>
    <s v="SHAH/SYED ATHAR HUSSAIN MR"/>
    <s v="OFPICL"/>
    <s v="PK"/>
    <d v="2026-04-01T00:00:00"/>
    <d v="2026-04-13T00:00:00"/>
    <m/>
    <m/>
    <s v="X"/>
    <d v="2026-12-31T00:00:00"/>
    <s v="TK"/>
    <n v="5647.12"/>
    <n v="6832.78"/>
    <m/>
    <n v="9"/>
    <n v="1185.6599999999999"/>
    <x v="10"/>
  </r>
  <r>
    <s v="SUMMANDAR/SIDHRA MS"/>
    <s v="HMUYDZ"/>
    <s v="TK"/>
    <d v="2026-03-12T00:00:00"/>
    <m/>
    <m/>
    <m/>
    <s v="X"/>
    <d v="2026-01-02T00:00:00"/>
    <s v="TK"/>
    <n v="487.68"/>
    <n v="525"/>
    <m/>
    <n v="1"/>
    <n v="37.319999999999993"/>
    <x v="10"/>
  </r>
  <r>
    <s v="KHAN/SUMANDER MR"/>
    <s v="SOUCZH"/>
    <s v="TK"/>
    <d v="2026-01-02T00:00:00"/>
    <d v="2026-04-28T00:00:00"/>
    <m/>
    <m/>
    <s v="X"/>
    <d v="2026-01-02T00:00:00"/>
    <s v="TK"/>
    <n v="1217.3599999999999"/>
    <n v="1290"/>
    <m/>
    <n v="2"/>
    <n v="72.6400000000001"/>
    <x v="10"/>
  </r>
  <r>
    <s v="KHAN/RAJA MUHAMMAD SARWAR MR"/>
    <s v="QUDEEH"/>
    <s v="QR"/>
    <d v="2026-01-21T00:00:00"/>
    <d v="2026-04-27T00:00:00"/>
    <m/>
    <m/>
    <s v="X"/>
    <d v="2026-01-02T00:00:00"/>
    <s v="TK"/>
    <n v="1199.78"/>
    <n v="1350"/>
    <m/>
    <n v="2"/>
    <n v="150.22000000000003"/>
    <x v="10"/>
  </r>
  <r>
    <s v="KAZMI/ZIA UL HASSAN MR"/>
    <s v="SIXMVI"/>
    <s v="PK"/>
    <d v="2026-05-03T00:00:00"/>
    <d v="2026-06-12T00:00:00"/>
    <m/>
    <m/>
    <s v="X"/>
    <d v="2026-01-02T00:00:00"/>
    <s v="TK"/>
    <n v="1399.98"/>
    <m/>
    <m/>
    <n v="2"/>
    <n v="-1399.98"/>
    <x v="10"/>
  </r>
  <r>
    <s v="AMIN/MUHAMMAD MR"/>
    <s v="HVOERS"/>
    <s v="QR"/>
    <d v="2026-03-20T00:00:00"/>
    <d v="2026-04-15T00:00:00"/>
    <m/>
    <m/>
    <s v="X"/>
    <d v="2026-01-05T00:00:00"/>
    <s v="TK"/>
    <n v="3410.35"/>
    <n v="3655"/>
    <m/>
    <n v="5"/>
    <n v="244.65000000000009"/>
    <x v="10"/>
  </r>
  <r>
    <s v="YOUNAS/MOHAMMED MR"/>
    <s v="GAQHGF"/>
    <s v="PK"/>
    <d v="2026-06-17T00:00:00"/>
    <m/>
    <m/>
    <m/>
    <s v="X"/>
    <d v="2026-01-05T00:00:00"/>
    <s v="TK"/>
    <n v="351.2"/>
    <n v="395"/>
    <m/>
    <n v="1"/>
    <n v="43.800000000000011"/>
    <x v="10"/>
  </r>
  <r>
    <s v="YOUNAS/MOHAMMED MR"/>
    <s v="WNIACS"/>
    <s v="PK"/>
    <d v="2026-03-21T00:00:00"/>
    <m/>
    <m/>
    <m/>
    <s v="X"/>
    <d v="2026-01-07T00:00:00"/>
    <s v="TK"/>
    <n v="335.8"/>
    <n v="375"/>
    <m/>
    <n v="0"/>
    <n v="39.199999999999989"/>
    <x v="10"/>
  </r>
  <r>
    <s v="ANWAR/FARZANA MRS"/>
    <s v="ANIMIT"/>
    <s v="EK/PK"/>
    <d v="2026-03-22T00:00:00"/>
    <d v="2026-04-13T00:00:00"/>
    <m/>
    <m/>
    <s v="X"/>
    <d v="2026-01-09T00:00:00"/>
    <s v="TK"/>
    <n v="931.27"/>
    <n v="995"/>
    <m/>
    <n v="1"/>
    <n v="63.730000000000018"/>
    <x v="10"/>
  </r>
  <r>
    <s v="YEBOAH/MARIAN MS"/>
    <s v="WSNVWL"/>
    <s v="CZ"/>
    <d v="2026-03-04T00:00:00"/>
    <d v="2026-03-20T00:00:00"/>
    <m/>
    <m/>
    <s v="X"/>
    <d v="2026-01-10T00:00:00"/>
    <s v="TK"/>
    <n v="537.79"/>
    <n v="795"/>
    <m/>
    <n v="1"/>
    <n v="257.21000000000004"/>
    <x v="10"/>
  </r>
  <r>
    <s v="YEBOAH/BISMARK KWAME MR"/>
    <s v="EGSGQB"/>
    <s v="TP"/>
    <d v="2026-07-24T00:00:00"/>
    <d v="2026-08-26T00:00:00"/>
    <m/>
    <m/>
    <s v="X"/>
    <d v="2026-01-13T00:00:00"/>
    <s v="TK"/>
    <n v="3310.2"/>
    <n v="3710"/>
    <m/>
    <n v="4"/>
    <n v="399.80000000000018"/>
    <x v="10"/>
  </r>
  <r>
    <s v="MEHMOOD/ZAHID MR"/>
    <s v="WIBUHG"/>
    <s v="SV"/>
    <d v="2026-03-07T00:00:00"/>
    <d v="2026-03-28T00:00:00"/>
    <m/>
    <m/>
    <s v="X"/>
    <d v="2026-01-13T00:00:00"/>
    <s v="TK"/>
    <n v="598.29"/>
    <n v="675"/>
    <m/>
    <n v="1"/>
    <n v="76.710000000000036"/>
    <x v="10"/>
  </r>
  <r>
    <s v="AHMED/MUHAMMAD TALAL MSTR*CNN"/>
    <s v="OYVQGB"/>
    <s v="PK"/>
    <d v="2026-03-30T00:00:00"/>
    <d v="2026-04-17T00:00:00"/>
    <m/>
    <m/>
    <s v="X"/>
    <d v="2026-01-15T00:00:00"/>
    <s v="TK"/>
    <n v="667.99"/>
    <n v="775"/>
    <m/>
    <n v="1"/>
    <n v="107.00999999999999"/>
    <x v="10"/>
  </r>
  <r>
    <s v="KAUSAR/NAILA MRS"/>
    <s v="UMLADZ"/>
    <s v="PK"/>
    <d v="2026-03-30T00:00:00"/>
    <d v="2026-04-17T00:00:00"/>
    <m/>
    <m/>
    <s v="X"/>
    <d v="2026-01-15T00:00:00"/>
    <s v="TK"/>
    <n v="927.99"/>
    <n v="1045"/>
    <m/>
    <n v="1"/>
    <n v="117.00999999999999"/>
    <x v="10"/>
  </r>
  <r>
    <s v="ZARAIT/NABEELA MRS"/>
    <s v="CYKLRN"/>
    <s v="SV"/>
    <d v="2026-02-12T00:00:00"/>
    <d v="2026-02-26T00:00:00"/>
    <m/>
    <m/>
    <s v="X"/>
    <d v="2026-01-15T00:00:00"/>
    <s v="TK"/>
    <n v="1090.78"/>
    <n v="1220"/>
    <m/>
    <n v="2"/>
    <n v="129.22000000000003"/>
    <x v="10"/>
  </r>
  <r>
    <s v="ANWAR/ALI MR"/>
    <s v="KTLRTA"/>
    <s v="PK"/>
    <d v="2026-07-26T00:00:00"/>
    <d v="2026-08-24T00:00:00"/>
    <m/>
    <m/>
    <s v="X"/>
    <d v="2026-01-14T00:00:00"/>
    <s v="TK"/>
    <n v="2976.76"/>
    <n v="3180"/>
    <m/>
    <n v="4"/>
    <n v="203.23999999999978"/>
    <x v="10"/>
  </r>
  <r>
    <s v="KHAN/MOHAMMAD ISHFAQ MR"/>
    <s v="OWNRHU"/>
    <s v="PK"/>
    <d v="2026-04-03T00:00:00"/>
    <d v="2026-04-24T00:00:00"/>
    <m/>
    <m/>
    <s v="X"/>
    <d v="2026-01-14T00:00:00"/>
    <s v="TK"/>
    <n v="1550.38"/>
    <n v="1690"/>
    <m/>
    <n v="2"/>
    <n v="139.61999999999989"/>
    <x v="10"/>
  </r>
  <r>
    <s v="KOUSAR/NOUREEN MRS"/>
    <s v="HAFFOG"/>
    <s v="PK"/>
    <d v="2026-07-17T00:00:00"/>
    <d v="2026-08-30T00:00:00"/>
    <m/>
    <m/>
    <s v="X"/>
    <d v="2026-01-19T00:00:00"/>
    <s v="TK"/>
    <n v="4474.95"/>
    <n v="4775"/>
    <m/>
    <n v="5"/>
    <n v="300.05000000000018"/>
    <x v="10"/>
  </r>
  <r>
    <s v="RAJA/IMRAN RABBANI MR"/>
    <s v="CLJTET"/>
    <s v="BA"/>
    <d v="2026-07-17T00:00:00"/>
    <d v="2026-09-05T00:00:00"/>
    <m/>
    <m/>
    <s v="X"/>
    <d v="2026-01-17T00:00:00"/>
    <s v="TK"/>
    <n v="17710.28"/>
    <m/>
    <m/>
    <n v="6"/>
    <n v="-17710.28"/>
    <x v="10"/>
  </r>
  <r>
    <s v="QAISAR/MISBAH MRS"/>
    <s v="CTOHDA"/>
    <s v="SV"/>
    <m/>
    <d v="2026-04-01T00:00:00"/>
    <m/>
    <m/>
    <s v="X"/>
    <d v="2026-01-18T00:00:00"/>
    <s v="TK"/>
    <n v="331"/>
    <n v="385"/>
    <m/>
    <n v="1"/>
    <n v="54"/>
    <x v="10"/>
  </r>
  <r>
    <s v="MALIK/QAISAR JAVED MR"/>
    <s v="ERLCXG"/>
    <s v="SV"/>
    <d v="2026-02-19T00:00:00"/>
    <d v="2026-04-01T00:00:00"/>
    <m/>
    <m/>
    <s v="X"/>
    <d v="2026-01-22T00:00:00"/>
    <s v="TK"/>
    <n v="600.19000000000005"/>
    <n v="665"/>
    <m/>
    <n v="1"/>
    <n v="64.809999999999945"/>
    <x v="10"/>
  </r>
  <r>
    <s v="SHAH/HASAN ALI MR"/>
    <s v="MLVNSM"/>
    <s v="PK"/>
    <d v="2026-03-30T00:00:00"/>
    <m/>
    <m/>
    <m/>
    <s v="X"/>
    <d v="2026-01-19T00:00:00"/>
    <s v="TK"/>
    <n v="1178.29"/>
    <n v="1225"/>
    <m/>
    <n v="1"/>
    <n v="46.710000000000036"/>
    <x v="10"/>
  </r>
  <r>
    <s v="BEGUM/BUSHRA MRS"/>
    <s v="LMCDZS"/>
    <s v="QR"/>
    <d v="2026-01-20T00:00:00"/>
    <d v="2026-03-03T00:00:00"/>
    <m/>
    <m/>
    <s v="X"/>
    <d v="2026-01-19T00:00:00"/>
    <s v="TK"/>
    <n v="660.99"/>
    <n v="725"/>
    <m/>
    <n v="1"/>
    <n v="64.009999999999991"/>
    <x v="10"/>
  </r>
  <r>
    <s v="AKHTAR/JAVED MR"/>
    <s v="LMLZKM"/>
    <s v="QR"/>
    <d v="2026-01-21T00:00:00"/>
    <d v="2026-02-02T00:00:00"/>
    <m/>
    <m/>
    <s v="X"/>
    <d v="2026-01-19T00:00:00"/>
    <s v="TK"/>
    <n v="739.99"/>
    <n v="865"/>
    <m/>
    <n v="1"/>
    <n v="125.00999999999999"/>
    <x v="10"/>
  </r>
  <r>
    <s v="TARIQ/MAHMOOD MR"/>
    <s v="OAFJIR"/>
    <s v="QR"/>
    <d v="2026-01-21T00:00:00"/>
    <d v="2026-02-02T00:00:00"/>
    <m/>
    <m/>
    <s v="X"/>
    <d v="2026-01-19T00:00:00"/>
    <s v="TK"/>
    <n v="1974.5"/>
    <m/>
    <m/>
    <n v="2"/>
    <n v="-1974.5"/>
    <x v="10"/>
  </r>
  <r>
    <s v="BI/JAMILA MRS"/>
    <s v="AAEJHB"/>
    <s v="KU"/>
    <d v="2026-04-12T00:00:00"/>
    <d v="2026-05-30T00:00:00"/>
    <m/>
    <m/>
    <s v="X"/>
    <d v="2026-01-20T00:00:00"/>
    <s v="DC"/>
    <n v="48.3"/>
    <n v="375"/>
    <m/>
    <n v="3"/>
    <n v="326.7"/>
    <x v="10"/>
  </r>
  <r>
    <s v="SHAH/SYED GHULAM FAZLAY ABBAS MR"/>
    <s v="DTUYRX"/>
    <s v="TG"/>
    <d v="2026-05-02T00:00:00"/>
    <d v="2026-06-06T00:00:00"/>
    <m/>
    <m/>
    <s v="X"/>
    <d v="2026-01-23T00:00:00"/>
    <s v="TK"/>
    <n v="850.9"/>
    <n v="850.9"/>
    <m/>
    <n v="0"/>
    <n v="0"/>
    <x v="10"/>
  </r>
  <r>
    <s v="BIBI/HASEENA MRS"/>
    <s v="DFPAQS"/>
    <s v="PK"/>
    <d v="2026-07-31T00:00:00"/>
    <d v="2026-09-06T00:00:00"/>
    <m/>
    <m/>
    <s v="X"/>
    <d v="2026-01-24T00:00:00"/>
    <s v="TK"/>
    <n v="3044.36"/>
    <n v="3425"/>
    <m/>
    <n v="4"/>
    <n v="380.63999999999987"/>
    <x v="10"/>
  </r>
  <r>
    <s v="KHAN/MUHAMMAD AFFAN MSTR*CNN"/>
    <s v="GCUTXV"/>
    <s v="PK"/>
    <d v="2026-07-31T00:00:00"/>
    <d v="2026-09-06T00:00:00"/>
    <m/>
    <m/>
    <s v="X"/>
    <d v="2026-01-24T00:00:00"/>
    <s v="TK"/>
    <n v="627.09"/>
    <n v="675"/>
    <m/>
    <n v="1"/>
    <n v="47.909999999999968"/>
    <x v="10"/>
  </r>
  <r>
    <s v="HAIDER/SYED ZEESHAN MR"/>
    <s v="KQVSJJ"/>
    <s v="EY"/>
    <d v="2026-02-07T00:00:00"/>
    <d v="2026-05-02T00:00:00"/>
    <m/>
    <m/>
    <s v="X"/>
    <d v="2026-01-24T00:00:00"/>
    <s v="TK"/>
    <n v="629.19000000000005"/>
    <n v="695"/>
    <m/>
    <n v="1"/>
    <n v="65.809999999999945"/>
    <x v="10"/>
  </r>
  <r>
    <s v="AHMED/AJAZ MR"/>
    <s v="LIPCWM"/>
    <s v="PK"/>
    <d v="2026-07-25T00:00:00"/>
    <m/>
    <m/>
    <m/>
    <s v="X"/>
    <d v="2026-01-29T00:00:00"/>
    <s v="TK"/>
    <n v="1235.2"/>
    <m/>
    <m/>
    <n v="0"/>
    <n v="-1235.2"/>
    <x v="10"/>
  </r>
  <r>
    <s v="AKHTAR/JAVED MR"/>
    <s v="LMLZKM"/>
    <s v="QR"/>
    <d v="2026-02-08T00:00:00"/>
    <m/>
    <m/>
    <m/>
    <s v="X"/>
    <d v="2026-01-30T00:00:00"/>
    <s v="DC"/>
    <n v="140"/>
    <n v="245"/>
    <m/>
    <n v="1"/>
    <n v="105"/>
    <x v="10"/>
  </r>
  <r>
    <s v="NAZ/FARZANA MS"/>
    <s v="OAFJIR"/>
    <s v="QR"/>
    <d v="2026-02-14T00:00:00"/>
    <m/>
    <m/>
    <m/>
    <s v="X"/>
    <d v="2026-01-30T00:00:00"/>
    <s v="DC"/>
    <n v="222"/>
    <n v="390"/>
    <m/>
    <n v="2"/>
    <n v="168"/>
    <x v="10"/>
  </r>
  <r>
    <s v="AHMED/AJAZ MR"/>
    <m/>
    <m/>
    <m/>
    <m/>
    <m/>
    <m/>
    <s v="X"/>
    <m/>
    <s v="TK"/>
    <m/>
    <m/>
    <m/>
    <m/>
    <n v="0"/>
    <x v="10"/>
  </r>
  <r>
    <m/>
    <m/>
    <m/>
    <m/>
    <m/>
    <m/>
    <m/>
    <s v="X"/>
    <m/>
    <s v="TK"/>
    <m/>
    <m/>
    <m/>
    <m/>
    <n v="0"/>
    <x v="10"/>
  </r>
  <r>
    <m/>
    <m/>
    <m/>
    <m/>
    <m/>
    <m/>
    <m/>
    <s v="X"/>
    <m/>
    <s v="TK"/>
    <m/>
    <m/>
    <m/>
    <m/>
    <n v="0"/>
    <x v="10"/>
  </r>
  <r>
    <m/>
    <m/>
    <m/>
    <m/>
    <m/>
    <m/>
    <m/>
    <s v="X"/>
    <m/>
    <s v="TK"/>
    <m/>
    <m/>
    <m/>
    <m/>
    <n v="0"/>
    <x v="10"/>
  </r>
  <r>
    <m/>
    <m/>
    <m/>
    <m/>
    <m/>
    <m/>
    <m/>
    <s v="X"/>
    <m/>
    <s v="TK"/>
    <m/>
    <m/>
    <m/>
    <m/>
    <n v="0"/>
    <x v="10"/>
  </r>
  <r>
    <m/>
    <m/>
    <m/>
    <m/>
    <m/>
    <m/>
    <m/>
    <s v="X"/>
    <m/>
    <s v="TK"/>
    <m/>
    <m/>
    <m/>
    <m/>
    <n v="0"/>
    <x v="10"/>
  </r>
  <r>
    <m/>
    <m/>
    <m/>
    <m/>
    <m/>
    <m/>
    <m/>
    <s v="X"/>
    <m/>
    <s v="TK"/>
    <m/>
    <m/>
    <m/>
    <m/>
    <n v="0"/>
    <x v="10"/>
  </r>
  <r>
    <m/>
    <m/>
    <m/>
    <m/>
    <m/>
    <m/>
    <m/>
    <s v="X"/>
    <m/>
    <s v="TK"/>
    <m/>
    <m/>
    <m/>
    <m/>
    <n v="0"/>
    <x v="10"/>
  </r>
  <r>
    <m/>
    <m/>
    <m/>
    <m/>
    <m/>
    <m/>
    <m/>
    <s v="X"/>
    <m/>
    <m/>
    <m/>
    <m/>
    <m/>
    <m/>
    <n v="0"/>
    <x v="10"/>
  </r>
  <r>
    <m/>
    <m/>
    <m/>
    <m/>
    <m/>
    <m/>
    <m/>
    <s v="X"/>
    <m/>
    <m/>
    <m/>
    <m/>
    <m/>
    <m/>
    <n v="0"/>
    <x v="10"/>
  </r>
  <r>
    <m/>
    <m/>
    <m/>
    <m/>
    <m/>
    <m/>
    <m/>
    <s v="X"/>
    <m/>
    <m/>
    <m/>
    <m/>
    <m/>
    <m/>
    <n v="0"/>
    <x v="10"/>
  </r>
  <r>
    <m/>
    <m/>
    <m/>
    <m/>
    <m/>
    <m/>
    <m/>
    <s v="X"/>
    <m/>
    <s v="TK"/>
    <m/>
    <m/>
    <m/>
    <m/>
    <n v="0"/>
    <x v="10"/>
  </r>
  <r>
    <m/>
    <m/>
    <m/>
    <m/>
    <m/>
    <m/>
    <m/>
    <s v="X"/>
    <d v="2026-01-16T00:00:00"/>
    <s v="TK"/>
    <m/>
    <m/>
    <m/>
    <m/>
    <n v="0"/>
    <x v="10"/>
  </r>
  <r>
    <m/>
    <m/>
    <m/>
    <m/>
    <m/>
    <m/>
    <m/>
    <s v="X"/>
    <d v="2026-01-17T00:00:00"/>
    <s v="TK"/>
    <m/>
    <m/>
    <m/>
    <m/>
    <n v="0"/>
    <x v="10"/>
  </r>
  <r>
    <m/>
    <m/>
    <m/>
    <m/>
    <m/>
    <m/>
    <m/>
    <s v="X"/>
    <m/>
    <m/>
    <m/>
    <m/>
    <m/>
    <m/>
    <n v="0"/>
    <x v="10"/>
  </r>
  <r>
    <m/>
    <m/>
    <m/>
    <m/>
    <m/>
    <m/>
    <m/>
    <s v="X"/>
    <d v="2025-11-01T00:00:00"/>
    <m/>
    <n v="0"/>
    <n v="0"/>
    <m/>
    <n v="0"/>
    <n v="0"/>
    <x v="11"/>
  </r>
  <r>
    <m/>
    <m/>
    <m/>
    <m/>
    <m/>
    <m/>
    <m/>
    <s v="X"/>
    <d v="2025-12-01T00:00:00"/>
    <m/>
    <n v="0"/>
    <n v="0"/>
    <m/>
    <n v="0"/>
    <n v="0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BE054-369C-40D9-AAEA-BF86A517BD73}" name="PivotTable1" cacheId="30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2:N15" firstHeaderRow="1" firstDataRow="1" firstDataCol="1"/>
  <pivotFields count="7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dataField="1" compact="0" numFmtId="168" outline="0" showAll="0"/>
    <pivotField axis="axisRow" compact="0" outline="0" showAll="0" sortType="ascending">
      <items count="13">
        <item x="0"/>
        <item x="8"/>
        <item x="1"/>
        <item x="2"/>
        <item x="3"/>
        <item x="9"/>
        <item x="4"/>
        <item x="5"/>
        <item x="6"/>
        <item x="7"/>
        <item x="10"/>
        <item x="11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10%" fld="5" baseField="0" baseItem="0" numFmtId="168"/>
  </dataFields>
  <formats count="1">
    <format dxfId="51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4D24C-DF90-4820-8D57-9031653BB151}" name="PivotTable3" cacheId="30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19:H32" firstHeaderRow="0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dataField="1" compact="0" numFmtId="165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0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are Cost" fld="10" baseField="0" baseItem="0"/>
    <dataField name="Sum of Sale Cost" fld="11" baseField="0" baseItem="0"/>
    <dataField name="Sum of profit" fld="1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5" type="captionGreaterThan" evalOrder="-1" id="1" stringValue1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13799-D05B-48A6-A0F4-A5A3ED8F7A1B}" name="PivotTable2" cacheId="30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H2:I15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5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0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Pax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5" type="captionGreaterThanOrEqual" evalOrder="-1" id="1" stringValue1="1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DB61E-1D70-4608-8DFD-1E99BDD1E58B}" name="PivotTable4" cacheId="30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9:C32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8" outline="0" showAll="0"/>
    <pivotField compact="0" outline="0" showAll="0"/>
    <pivotField dataField="1" compact="0" numFmtId="168" outline="0" showAll="0"/>
    <pivotField axis="axisRow" compact="0" outline="0" showAll="0" sortType="ascending">
      <items count="14">
        <item x="0"/>
        <item x="3"/>
        <item x="4"/>
        <item x="5"/>
        <item x="6"/>
        <item x="7"/>
        <item x="1"/>
        <item x="2"/>
        <item x="8"/>
        <item x="9"/>
        <item x="10"/>
        <item x="11"/>
        <item h="1" x="12"/>
        <item t="default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om" fld="1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4112A-894A-4521-8FFD-61823D5A7181}" name="PivotTable5" cacheId="30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E2:F15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0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5" type="captionGreaterThan" evalOrder="-1" id="4" stringValue1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5290E8-4952-4C45-85F1-DBD579867FCB}" name="Table2" displayName="Table2" ref="B1:S346" totalsRowShown="0" headerRowDxfId="46" tableBorderDxfId="45">
  <autoFilter ref="B1:S346" xr:uid="{0E5290E8-4952-4C45-85F1-DBD579867FCB}"/>
  <sortState xmlns:xlrd2="http://schemas.microsoft.com/office/spreadsheetml/2017/richdata2" ref="B2:Q346">
    <sortCondition ref="J1:J346"/>
  </sortState>
  <tableColumns count="18">
    <tableColumn id="1" xr3:uid="{7E1AB2E5-DEEC-4AC1-B34D-DCD08C356666}" name="Customer Name" dataDxfId="44"/>
    <tableColumn id="2" xr3:uid="{78692A8B-3535-4D55-B1B4-0C04D71DA36E}" name="PNR" dataDxfId="43"/>
    <tableColumn id="3" xr3:uid="{FFC566CB-F4F3-443D-B08E-FE9B33B049A2}" name="Airline" dataDxfId="42"/>
    <tableColumn id="4" xr3:uid="{AE216E97-4F1D-4987-992E-7C8402A537AB}" name="Departure Date" dataDxfId="41"/>
    <tableColumn id="5" xr3:uid="{51E0B2F8-6940-4D9E-A981-550F2B70301D}" name="Return Date" dataDxfId="40"/>
    <tableColumn id="6" xr3:uid="{BCD5FF88-0E98-493B-AE1E-CF3D8093B1A8}" name="Booking Deadline" dataDxfId="39"/>
    <tableColumn id="16" xr3:uid="{D217A7B1-1C4D-4C9B-86CD-F3BE9D1E8D70}" name="D. Time" dataDxfId="38"/>
    <tableColumn id="7" xr3:uid="{F41FC463-72C2-4AC2-8FCF-3F5D3502308A}" name="Paid? (X)" dataDxfId="37"/>
    <tableColumn id="8" xr3:uid="{1E6D9793-4774-443D-A08B-1BD3E6E0DF85}" name="Issued date" dataDxfId="36"/>
    <tableColumn id="9" xr3:uid="{9F76D18B-8BE4-453A-8BE0-587E62EC002C}" name="Type" dataDxfId="35"/>
    <tableColumn id="10" xr3:uid="{3CF30159-3920-4535-A85F-F6A0931E4F71}" name="Fare Cost" dataDxfId="34"/>
    <tableColumn id="11" xr3:uid="{38125E9D-E5D9-4018-A1B1-0D202D657199}" name="Sale Cost" dataDxfId="33"/>
    <tableColumn id="12" xr3:uid="{EF8113EE-9104-4662-B99B-6FADDD6F2326}" name="Contact Number (W or T)" dataDxfId="32"/>
    <tableColumn id="15" xr3:uid="{C28E3755-7858-4270-ACB7-B974845BC5E7}" name="Total Pax" dataDxfId="31"/>
    <tableColumn id="14" xr3:uid="{3D1C240F-5A9F-40F7-8D3A-D01DD5771BD8}" name="profit" dataDxfId="30">
      <calculatedColumnFormula>Table2[[#This Row],[Sale Cost]]-Table2[[#This Row],[Fare Cost]]</calculatedColumnFormula>
    </tableColumn>
    <tableColumn id="13" xr3:uid="{4065EB3D-E45D-4517-82E5-59FAF1C6B2CC}" name="Month" dataDxfId="29"/>
    <tableColumn id="17" xr3:uid="{094E5FED-2328-4FFF-A929-B129CE7DECBE}" name="AGENT" dataDxfId="28"/>
    <tableColumn id="18" xr3:uid="{69E42F8F-BD49-4E36-8B5D-4A0F4A0250A7}" name="Column1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595456-D142-4574-8026-EE684601938B}" name="Table3" displayName="Table3" ref="A1:Q27" totalsRowShown="0" tableBorderDxfId="26">
  <autoFilter ref="A1:Q27" xr:uid="{E6595456-D142-4574-8026-EE684601938B}"/>
  <tableColumns count="17">
    <tableColumn id="1" xr3:uid="{628C2C58-FFC2-487E-8B32-5CCB567C9082}" name="Issue Date" dataDxfId="25"/>
    <tableColumn id="2" xr3:uid="{625D0394-6DF5-4041-A613-9C2E65FF0ADF}" name="Customer Name" dataDxfId="24"/>
    <tableColumn id="3" xr3:uid="{2EE1F33B-1069-46A9-BE0B-816F77925EF8}" name="PNR"/>
    <tableColumn id="4" xr3:uid="{09660CEC-A25E-4B51-B670-9A3C8BD1822B}" name="Departure Date" dataDxfId="23"/>
    <tableColumn id="5" xr3:uid="{50D45F12-5F1E-48D6-8B0E-74A72F01A24C}" name="Return Date" dataDxfId="22"/>
    <tableColumn id="6" xr3:uid="{C098989E-A67A-491E-BF71-0AC1F92C2C66}" name="Ticket (£)" dataDxfId="21"/>
    <tableColumn id="7" xr3:uid="{66C0E26F-FF42-4EF0-8D12-35DE11763E19}" name="Hotel (£)" dataDxfId="20"/>
    <tableColumn id="8" xr3:uid="{7948C480-F094-4DE7-90EA-0FA6D47241BA}" name="Transport (£)" dataDxfId="19"/>
    <tableColumn id="9" xr3:uid="{8C70EFAC-2AA9-4430-A809-488C6CE044F1}" name="Visa (£)" dataDxfId="18"/>
    <tableColumn id="10" xr3:uid="{DA4E9E71-F6AB-42B4-B508-DCA24F149474}" name="Net Cost" dataDxfId="17">
      <calculatedColumnFormula>SUM(Table3[[#This Row],[Ticket (£)]:[Visa (£)]])</calculatedColumnFormula>
    </tableColumn>
    <tableColumn id="11" xr3:uid="{C69078AA-0085-4299-AC59-0E232B96DB63}" name="Payment Date" dataDxfId="16"/>
    <tableColumn id="12" xr3:uid="{72DF7F83-047C-4561-AAED-95109F20E450}" name="Sale cost" dataDxfId="15"/>
    <tableColumn id="13" xr3:uid="{4E99A1CA-9E9E-43CA-B1A1-B705435D7D0F}" name="Paid? (X)" dataDxfId="14"/>
    <tableColumn id="14" xr3:uid="{294BDD04-A0CD-4795-9DFC-5053BD0DAACA}" name="Profit" dataDxfId="13">
      <calculatedColumnFormula>L2-J2</calculatedColumnFormula>
    </tableColumn>
    <tableColumn id="15" xr3:uid="{2313A82C-EF03-4914-A548-ACAF40857DE0}" name="Notes"/>
    <tableColumn id="16" xr3:uid="{48A734B5-307F-4434-B9E8-0A03C31DD271}" name="Com" dataDxfId="12">
      <calculatedColumnFormula>N2*10%</calculatedColumnFormula>
    </tableColumn>
    <tableColumn id="17" xr3:uid="{2E98195A-9BE7-4623-952E-26DF8A5A3AC6}" name="Month" dataDxfId="11">
      <calculatedColumnFormula>MONTH(Table3[[#This Row],[Issue Date]])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E77900-219D-4593-849E-3548BA93358C}" name="Changes" displayName="Changes" ref="B1:H36" totalsRowShown="0" headerRowDxfId="10" dataDxfId="9" headerRowBorderDxfId="7" tableBorderDxfId="8">
  <autoFilter ref="B1:H36" xr:uid="{97E77900-219D-4593-849E-3548BA93358C}"/>
  <tableColumns count="7">
    <tableColumn id="1" xr3:uid="{0D49496C-EA3B-48B8-8924-1408A2C74EB9}" name="PNR" dataDxfId="6"/>
    <tableColumn id="2" xr3:uid="{83BF3970-6B73-471B-9616-ECBBBA32F18C}" name="Original Fare" dataDxfId="5"/>
    <tableColumn id="3" xr3:uid="{2D0A636D-188D-41CC-997C-CEE0B42C91A5}" name="New Lower Fare" dataDxfId="4"/>
    <tableColumn id="4" xr3:uid="{501027BA-7457-4DFA-B33A-8B6A1F2C6C48}" name="Difference" dataDxfId="3"/>
    <tableColumn id="6" xr3:uid="{71AC0C48-8317-4C64-A91C-4FF99C420FCE}" name="Date" dataDxfId="2"/>
    <tableColumn id="7" xr3:uid="{6D384B50-EFFC-4180-BF09-E437EBDFBE10}" name="10%" dataDxfId="1">
      <calculatedColumnFormula>Changes[[#This Row],[Difference]]*10%</calculatedColumnFormula>
    </tableColumn>
    <tableColumn id="5" xr3:uid="{77661FEA-4949-49BF-AF8C-6B3995D61739}" name="Month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U351"/>
  <sheetViews>
    <sheetView tabSelected="1" workbookViewId="0">
      <pane ySplit="1" topLeftCell="J306" activePane="bottomLeft" state="frozen"/>
      <selection pane="bottomLeft" activeCell="S326" sqref="S326"/>
    </sheetView>
  </sheetViews>
  <sheetFormatPr defaultColWidth="9.140625" defaultRowHeight="15"/>
  <cols>
    <col min="1" max="1" width="3.140625" customWidth="1"/>
    <col min="2" max="2" width="46.140625" style="33" bestFit="1" customWidth="1"/>
    <col min="3" max="3" width="11.140625" style="33" customWidth="1"/>
    <col min="4" max="4" width="9.140625" style="35" bestFit="1" customWidth="1"/>
    <col min="5" max="5" width="17.140625" style="33" bestFit="1" customWidth="1"/>
    <col min="6" max="6" width="14.5703125" style="33" customWidth="1"/>
    <col min="7" max="7" width="18.42578125" style="33" bestFit="1" customWidth="1"/>
    <col min="8" max="8" width="11.28515625" style="33" customWidth="1"/>
    <col min="9" max="9" width="12.5703125" style="71" bestFit="1" customWidth="1"/>
    <col min="10" max="10" width="13.7109375" style="33" bestFit="1" customWidth="1"/>
    <col min="11" max="11" width="7.5703125" style="33" bestFit="1" customWidth="1"/>
    <col min="12" max="12" width="12.85546875" style="72" bestFit="1" customWidth="1"/>
    <col min="13" max="13" width="21.85546875" style="72" bestFit="1" customWidth="1"/>
    <col min="14" max="14" width="28.42578125" style="71" bestFit="1" customWidth="1"/>
    <col min="15" max="15" width="11.140625" style="33" bestFit="1" customWidth="1"/>
    <col min="16" max="16" width="11.7109375" bestFit="1" customWidth="1"/>
    <col min="17" max="19" width="9.140625" customWidth="1"/>
  </cols>
  <sheetData>
    <row r="1" spans="2:21">
      <c r="B1" s="64" t="s">
        <v>0</v>
      </c>
      <c r="C1" s="66" t="s">
        <v>1</v>
      </c>
      <c r="D1" s="67" t="s">
        <v>2</v>
      </c>
      <c r="E1" s="68" t="s">
        <v>3</v>
      </c>
      <c r="F1" s="68" t="s">
        <v>4</v>
      </c>
      <c r="G1" s="68" t="s">
        <v>5</v>
      </c>
      <c r="H1" s="68" t="s">
        <v>6</v>
      </c>
      <c r="I1" s="83" t="s">
        <v>7</v>
      </c>
      <c r="J1" s="68" t="s">
        <v>8</v>
      </c>
      <c r="K1" s="68" t="s">
        <v>9</v>
      </c>
      <c r="L1" s="84" t="s">
        <v>10</v>
      </c>
      <c r="M1" s="84" t="s">
        <v>11</v>
      </c>
      <c r="N1" s="69" t="s">
        <v>12</v>
      </c>
      <c r="O1" s="33" t="s">
        <v>13</v>
      </c>
      <c r="P1" s="13" t="s">
        <v>14</v>
      </c>
      <c r="Q1" s="169" t="s">
        <v>15</v>
      </c>
      <c r="R1" s="165" t="s">
        <v>16</v>
      </c>
      <c r="S1" s="175" t="s">
        <v>17</v>
      </c>
    </row>
    <row r="2" spans="2:21">
      <c r="B2" s="33" t="s">
        <v>18</v>
      </c>
      <c r="C2" s="70" t="s">
        <v>19</v>
      </c>
      <c r="D2" s="35" t="s">
        <v>20</v>
      </c>
      <c r="E2" s="36">
        <v>45670</v>
      </c>
      <c r="F2" s="37">
        <v>45709</v>
      </c>
      <c r="G2" s="38"/>
      <c r="H2" s="39"/>
      <c r="I2" s="9" t="s">
        <v>21</v>
      </c>
      <c r="J2" s="32">
        <v>45660</v>
      </c>
      <c r="K2" s="32" t="s">
        <v>22</v>
      </c>
      <c r="L2" s="72">
        <v>903.02</v>
      </c>
      <c r="M2" s="72">
        <v>975</v>
      </c>
      <c r="N2" s="40" t="s">
        <v>23</v>
      </c>
      <c r="O2" s="71">
        <v>1</v>
      </c>
      <c r="P2" s="14">
        <f>Table2[[#This Row],[Sale Cost]]-Table2[[#This Row],[Fare Cost]]</f>
        <v>71.980000000000018</v>
      </c>
      <c r="Q2" s="162">
        <f>MONTH(Table2[[#This Row],[Issued date]])</f>
        <v>1</v>
      </c>
      <c r="R2" s="166"/>
      <c r="S2" s="162"/>
    </row>
    <row r="3" spans="2:21">
      <c r="B3" s="33" t="s">
        <v>24</v>
      </c>
      <c r="C3" s="34" t="s">
        <v>25</v>
      </c>
      <c r="D3" s="35" t="s">
        <v>26</v>
      </c>
      <c r="E3" s="36">
        <v>45662</v>
      </c>
      <c r="F3" s="37">
        <v>45702</v>
      </c>
      <c r="G3" s="38"/>
      <c r="H3" s="39"/>
      <c r="I3" s="9" t="s">
        <v>21</v>
      </c>
      <c r="J3" s="32">
        <v>45660</v>
      </c>
      <c r="K3" s="32" t="s">
        <v>22</v>
      </c>
      <c r="L3" s="72">
        <v>922.82</v>
      </c>
      <c r="M3" s="72">
        <v>995</v>
      </c>
      <c r="N3" s="40"/>
      <c r="O3" s="71">
        <v>0</v>
      </c>
      <c r="P3" s="14">
        <f>Table2[[#This Row],[Sale Cost]]-Table2[[#This Row],[Fare Cost]]</f>
        <v>72.17999999999995</v>
      </c>
      <c r="Q3" s="162">
        <f>MONTH(Table2[[#This Row],[Issued date]])</f>
        <v>1</v>
      </c>
      <c r="R3" s="166"/>
      <c r="S3" s="162"/>
      <c r="T3" s="222" t="s">
        <v>27</v>
      </c>
      <c r="U3" s="223"/>
    </row>
    <row r="4" spans="2:21">
      <c r="B4" s="33" t="s">
        <v>28</v>
      </c>
      <c r="C4" s="34" t="s">
        <v>29</v>
      </c>
      <c r="D4" s="35" t="s">
        <v>30</v>
      </c>
      <c r="E4" s="36">
        <v>45675</v>
      </c>
      <c r="F4" s="37">
        <v>45694</v>
      </c>
      <c r="G4" s="38"/>
      <c r="H4" s="39"/>
      <c r="I4" s="9" t="s">
        <v>21</v>
      </c>
      <c r="J4" s="32">
        <v>45661</v>
      </c>
      <c r="K4" s="32" t="s">
        <v>22</v>
      </c>
      <c r="L4" s="72">
        <v>542.32000000000005</v>
      </c>
      <c r="M4" s="72">
        <v>595</v>
      </c>
      <c r="N4" s="40"/>
      <c r="O4" s="71">
        <v>1</v>
      </c>
      <c r="P4" s="14">
        <f>Table2[[#This Row],[Sale Cost]]-Table2[[#This Row],[Fare Cost]]</f>
        <v>52.67999999999995</v>
      </c>
      <c r="Q4" s="162">
        <f>MONTH(Table2[[#This Row],[Issued date]])</f>
        <v>1</v>
      </c>
      <c r="R4" s="166"/>
      <c r="S4" s="162"/>
      <c r="T4" s="224"/>
      <c r="U4" s="225"/>
    </row>
    <row r="5" spans="2:21">
      <c r="B5" s="33" t="s">
        <v>31</v>
      </c>
      <c r="C5" s="34" t="s">
        <v>32</v>
      </c>
      <c r="D5" s="35" t="s">
        <v>33</v>
      </c>
      <c r="E5" s="36">
        <v>45746</v>
      </c>
      <c r="F5" s="37">
        <v>45770</v>
      </c>
      <c r="G5" s="38"/>
      <c r="H5" s="39"/>
      <c r="I5" s="9" t="s">
        <v>21</v>
      </c>
      <c r="J5" s="32">
        <v>45664</v>
      </c>
      <c r="K5" s="32" t="s">
        <v>22</v>
      </c>
      <c r="L5" s="72">
        <v>2683.08</v>
      </c>
      <c r="M5" s="72">
        <v>3355</v>
      </c>
      <c r="N5" s="40" t="s">
        <v>34</v>
      </c>
      <c r="O5" s="71">
        <v>4</v>
      </c>
      <c r="P5" s="14">
        <f>Table2[[#This Row],[Sale Cost]]-Table2[[#This Row],[Fare Cost]]</f>
        <v>671.92000000000007</v>
      </c>
      <c r="Q5" s="162">
        <f>MONTH(Table2[[#This Row],[Issued date]])</f>
        <v>1</v>
      </c>
      <c r="R5" s="166"/>
      <c r="S5" s="162"/>
    </row>
    <row r="6" spans="2:21">
      <c r="B6" s="33" t="s">
        <v>35</v>
      </c>
      <c r="C6" s="34" t="s">
        <v>36</v>
      </c>
      <c r="D6" s="35" t="s">
        <v>37</v>
      </c>
      <c r="E6" s="36">
        <v>45680</v>
      </c>
      <c r="F6" s="37">
        <v>45700</v>
      </c>
      <c r="G6" s="38"/>
      <c r="H6" s="39"/>
      <c r="I6" s="9" t="s">
        <v>21</v>
      </c>
      <c r="J6" s="32">
        <v>45667</v>
      </c>
      <c r="K6" s="32" t="s">
        <v>22</v>
      </c>
      <c r="L6" s="72">
        <v>752.32</v>
      </c>
      <c r="M6" s="72">
        <v>820</v>
      </c>
      <c r="N6" s="40" t="s">
        <v>38</v>
      </c>
      <c r="O6" s="71">
        <v>1</v>
      </c>
      <c r="P6" s="14">
        <f>Table2[[#This Row],[Sale Cost]]-Table2[[#This Row],[Fare Cost]]</f>
        <v>67.67999999999995</v>
      </c>
      <c r="Q6" s="162">
        <f>MONTH(Table2[[#This Row],[Issued date]])</f>
        <v>1</v>
      </c>
      <c r="R6" s="166"/>
      <c r="S6" s="162"/>
    </row>
    <row r="7" spans="2:21">
      <c r="B7" s="33" t="s">
        <v>39</v>
      </c>
      <c r="C7" s="34" t="s">
        <v>40</v>
      </c>
      <c r="D7" s="35" t="s">
        <v>33</v>
      </c>
      <c r="E7" s="36">
        <v>45667</v>
      </c>
      <c r="F7" s="37">
        <v>45836</v>
      </c>
      <c r="G7" s="38"/>
      <c r="H7" s="73"/>
      <c r="I7" s="9" t="s">
        <v>21</v>
      </c>
      <c r="J7" s="32">
        <v>45667</v>
      </c>
      <c r="K7" s="32" t="s">
        <v>22</v>
      </c>
      <c r="L7" s="72">
        <v>561.77</v>
      </c>
      <c r="M7" s="72">
        <v>595</v>
      </c>
      <c r="N7" s="40"/>
      <c r="O7" s="71">
        <v>1</v>
      </c>
      <c r="P7" s="14">
        <f>Table2[[#This Row],[Sale Cost]]-Table2[[#This Row],[Fare Cost]]</f>
        <v>33.230000000000018</v>
      </c>
      <c r="Q7" s="162">
        <f>MONTH(Table2[[#This Row],[Issued date]])</f>
        <v>1</v>
      </c>
      <c r="R7" s="166"/>
      <c r="S7" s="162"/>
    </row>
    <row r="8" spans="2:21">
      <c r="B8" s="33" t="s">
        <v>41</v>
      </c>
      <c r="C8" s="34" t="s">
        <v>42</v>
      </c>
      <c r="D8" s="35" t="s">
        <v>33</v>
      </c>
      <c r="E8" s="36">
        <v>45669</v>
      </c>
      <c r="F8" s="37">
        <v>45717</v>
      </c>
      <c r="G8" s="38"/>
      <c r="H8" s="39"/>
      <c r="I8" s="9" t="s">
        <v>21</v>
      </c>
      <c r="J8" s="32">
        <v>45667</v>
      </c>
      <c r="K8" s="32" t="s">
        <v>22</v>
      </c>
      <c r="L8" s="72">
        <v>763.42</v>
      </c>
      <c r="M8" s="72">
        <v>865</v>
      </c>
      <c r="N8" s="40" t="s">
        <v>43</v>
      </c>
      <c r="O8" s="71">
        <v>1</v>
      </c>
      <c r="P8" s="14">
        <f>Table2[[#This Row],[Sale Cost]]-Table2[[#This Row],[Fare Cost]]</f>
        <v>101.58000000000004</v>
      </c>
      <c r="Q8" s="162">
        <f>MONTH(Table2[[#This Row],[Issued date]])</f>
        <v>1</v>
      </c>
      <c r="R8" s="166"/>
      <c r="S8" s="162"/>
    </row>
    <row r="9" spans="2:21">
      <c r="B9" s="33" t="s">
        <v>44</v>
      </c>
      <c r="C9" s="34" t="s">
        <v>45</v>
      </c>
      <c r="D9" s="35" t="s">
        <v>46</v>
      </c>
      <c r="E9" s="36">
        <v>45681</v>
      </c>
      <c r="F9" s="37">
        <v>45754</v>
      </c>
      <c r="G9" s="38"/>
      <c r="H9" s="39"/>
      <c r="I9" s="9" t="s">
        <v>21</v>
      </c>
      <c r="J9" s="32">
        <v>45669</v>
      </c>
      <c r="K9" s="32" t="s">
        <v>47</v>
      </c>
      <c r="L9" s="72">
        <v>1244.04</v>
      </c>
      <c r="M9" s="72">
        <v>1152</v>
      </c>
      <c r="N9" s="40"/>
      <c r="O9" s="71">
        <v>0</v>
      </c>
      <c r="P9" s="14">
        <f>Table2[[#This Row],[Sale Cost]]-Table2[[#This Row],[Fare Cost]]</f>
        <v>-92.039999999999964</v>
      </c>
      <c r="Q9" s="162">
        <f>MONTH(Table2[[#This Row],[Issued date]])</f>
        <v>1</v>
      </c>
      <c r="R9" s="166"/>
      <c r="S9" s="162"/>
    </row>
    <row r="10" spans="2:21">
      <c r="B10" s="33" t="s">
        <v>48</v>
      </c>
      <c r="C10" s="34" t="s">
        <v>49</v>
      </c>
      <c r="D10" s="35" t="s">
        <v>20</v>
      </c>
      <c r="E10" s="36">
        <v>45678</v>
      </c>
      <c r="F10" s="37">
        <v>45696</v>
      </c>
      <c r="G10" s="38"/>
      <c r="H10" s="39"/>
      <c r="I10" s="9" t="s">
        <v>21</v>
      </c>
      <c r="J10" s="32">
        <v>45673</v>
      </c>
      <c r="K10" s="32" t="s">
        <v>22</v>
      </c>
      <c r="L10" s="72">
        <v>897.87</v>
      </c>
      <c r="M10" s="72">
        <v>975</v>
      </c>
      <c r="N10" s="40" t="s">
        <v>50</v>
      </c>
      <c r="O10" s="71">
        <v>1</v>
      </c>
      <c r="P10" s="14">
        <f>Table2[[#This Row],[Sale Cost]]-Table2[[#This Row],[Fare Cost]]</f>
        <v>77.13</v>
      </c>
      <c r="Q10" s="162">
        <f>MONTH(Table2[[#This Row],[Issued date]])</f>
        <v>1</v>
      </c>
      <c r="R10" s="166"/>
      <c r="S10" s="162"/>
    </row>
    <row r="11" spans="2:21">
      <c r="B11" s="33" t="s">
        <v>51</v>
      </c>
      <c r="C11" s="34" t="s">
        <v>52</v>
      </c>
      <c r="D11" s="35" t="s">
        <v>26</v>
      </c>
      <c r="E11" s="36">
        <v>45676</v>
      </c>
      <c r="F11" s="37"/>
      <c r="G11" s="38"/>
      <c r="H11" s="39"/>
      <c r="I11" s="9" t="s">
        <v>21</v>
      </c>
      <c r="J11" s="32">
        <v>45674</v>
      </c>
      <c r="K11" s="32" t="s">
        <v>22</v>
      </c>
      <c r="L11" s="72">
        <v>529.33000000000004</v>
      </c>
      <c r="M11" s="72">
        <v>595</v>
      </c>
      <c r="N11" s="40" t="s">
        <v>53</v>
      </c>
      <c r="O11" s="71">
        <v>1</v>
      </c>
      <c r="P11" s="14">
        <f>Table2[[#This Row],[Sale Cost]]-Table2[[#This Row],[Fare Cost]]</f>
        <v>65.669999999999959</v>
      </c>
      <c r="Q11" s="162">
        <f>MONTH(Table2[[#This Row],[Issued date]])</f>
        <v>1</v>
      </c>
      <c r="R11" s="166"/>
      <c r="S11" s="162"/>
    </row>
    <row r="12" spans="2:21">
      <c r="B12" s="33" t="s">
        <v>54</v>
      </c>
      <c r="C12" s="34" t="s">
        <v>55</v>
      </c>
      <c r="D12" s="35" t="s">
        <v>26</v>
      </c>
      <c r="E12" s="36">
        <v>45746</v>
      </c>
      <c r="F12" s="37">
        <v>45772</v>
      </c>
      <c r="G12" s="38"/>
      <c r="H12" s="39"/>
      <c r="I12" s="9" t="s">
        <v>21</v>
      </c>
      <c r="J12" s="32">
        <v>45674</v>
      </c>
      <c r="K12" s="32" t="s">
        <v>22</v>
      </c>
      <c r="L12" s="72">
        <v>4627.1000000000004</v>
      </c>
      <c r="M12" s="72">
        <v>4975</v>
      </c>
      <c r="N12" s="40" t="s">
        <v>53</v>
      </c>
      <c r="O12" s="71">
        <v>5</v>
      </c>
      <c r="P12" s="14">
        <f>Table2[[#This Row],[Sale Cost]]-Table2[[#This Row],[Fare Cost]]</f>
        <v>347.89999999999964</v>
      </c>
      <c r="Q12" s="162">
        <f>MONTH(Table2[[#This Row],[Issued date]])</f>
        <v>1</v>
      </c>
      <c r="R12" s="166"/>
      <c r="S12" s="162"/>
    </row>
    <row r="13" spans="2:21">
      <c r="B13" s="33" t="s">
        <v>56</v>
      </c>
      <c r="C13" s="34" t="s">
        <v>57</v>
      </c>
      <c r="D13" s="35" t="s">
        <v>20</v>
      </c>
      <c r="E13" s="36">
        <v>45678</v>
      </c>
      <c r="F13" s="37">
        <v>45696</v>
      </c>
      <c r="G13" s="38"/>
      <c r="H13" s="39"/>
      <c r="I13" s="9" t="s">
        <v>21</v>
      </c>
      <c r="J13" s="32">
        <v>45674</v>
      </c>
      <c r="K13" s="32" t="s">
        <v>22</v>
      </c>
      <c r="L13" s="72">
        <v>809.67</v>
      </c>
      <c r="M13" s="72">
        <v>935</v>
      </c>
      <c r="N13" s="40" t="s">
        <v>50</v>
      </c>
      <c r="O13" s="71">
        <v>1</v>
      </c>
      <c r="P13" s="14">
        <f>Table2[[#This Row],[Sale Cost]]-Table2[[#This Row],[Fare Cost]]</f>
        <v>125.33000000000004</v>
      </c>
      <c r="Q13" s="162">
        <f>MONTH(Table2[[#This Row],[Issued date]])</f>
        <v>1</v>
      </c>
      <c r="R13" s="166"/>
      <c r="S13" s="162"/>
    </row>
    <row r="14" spans="2:21">
      <c r="B14" s="33" t="s">
        <v>58</v>
      </c>
      <c r="C14" s="34" t="s">
        <v>59</v>
      </c>
      <c r="D14" s="35" t="s">
        <v>46</v>
      </c>
      <c r="E14" s="36">
        <v>45858</v>
      </c>
      <c r="F14" s="37">
        <v>45887</v>
      </c>
      <c r="G14" s="38"/>
      <c r="H14" s="39"/>
      <c r="I14" s="9" t="s">
        <v>21</v>
      </c>
      <c r="J14" s="32">
        <v>45675</v>
      </c>
      <c r="K14" s="32" t="s">
        <v>22</v>
      </c>
      <c r="L14" s="72">
        <v>938.82</v>
      </c>
      <c r="M14" s="72">
        <v>995</v>
      </c>
      <c r="N14" s="40" t="s">
        <v>60</v>
      </c>
      <c r="O14" s="71">
        <v>1</v>
      </c>
      <c r="P14" s="14">
        <f>Table2[[#This Row],[Sale Cost]]-Table2[[#This Row],[Fare Cost]]</f>
        <v>56.17999999999995</v>
      </c>
      <c r="Q14" s="162">
        <f>MONTH(Table2[[#This Row],[Issued date]])</f>
        <v>1</v>
      </c>
      <c r="R14" s="166"/>
      <c r="S14" s="162"/>
    </row>
    <row r="15" spans="2:21">
      <c r="B15" s="33" t="s">
        <v>61</v>
      </c>
      <c r="C15" s="34" t="s">
        <v>62</v>
      </c>
      <c r="D15" s="35" t="s">
        <v>63</v>
      </c>
      <c r="E15" s="36">
        <v>45687</v>
      </c>
      <c r="F15" s="37">
        <v>45719</v>
      </c>
      <c r="G15" s="38"/>
      <c r="H15" s="39"/>
      <c r="I15" s="9" t="s">
        <v>21</v>
      </c>
      <c r="J15" s="32">
        <v>45675</v>
      </c>
      <c r="K15" s="32" t="s">
        <v>22</v>
      </c>
      <c r="L15" s="72">
        <v>745.61</v>
      </c>
      <c r="M15" s="72">
        <v>815</v>
      </c>
      <c r="N15" s="40" t="s">
        <v>64</v>
      </c>
      <c r="O15" s="71">
        <v>1</v>
      </c>
      <c r="P15" s="14">
        <f>Table2[[#This Row],[Sale Cost]]-Table2[[#This Row],[Fare Cost]]</f>
        <v>69.389999999999986</v>
      </c>
      <c r="Q15" s="162">
        <f>MONTH(Table2[[#This Row],[Issued date]])</f>
        <v>1</v>
      </c>
      <c r="R15" s="166"/>
      <c r="S15" s="162"/>
    </row>
    <row r="16" spans="2:21" s="50" customFormat="1">
      <c r="B16" s="61" t="s">
        <v>65</v>
      </c>
      <c r="C16" s="34" t="s">
        <v>66</v>
      </c>
      <c r="D16" s="35" t="s">
        <v>20</v>
      </c>
      <c r="E16" s="36">
        <v>45682</v>
      </c>
      <c r="F16" s="37"/>
      <c r="G16" s="38"/>
      <c r="H16" s="39"/>
      <c r="I16" s="9" t="s">
        <v>21</v>
      </c>
      <c r="J16" s="32">
        <v>45676</v>
      </c>
      <c r="K16" s="32" t="s">
        <v>22</v>
      </c>
      <c r="L16" s="72">
        <v>636.5</v>
      </c>
      <c r="M16" s="72">
        <v>695</v>
      </c>
      <c r="N16" s="40" t="s">
        <v>67</v>
      </c>
      <c r="O16" s="71">
        <v>1</v>
      </c>
      <c r="P16" s="14">
        <f>Table2[[#This Row],[Sale Cost]]-Table2[[#This Row],[Fare Cost]]</f>
        <v>58.5</v>
      </c>
      <c r="Q16" s="162">
        <f>MONTH(Table2[[#This Row],[Issued date]])</f>
        <v>1</v>
      </c>
      <c r="R16" s="166"/>
      <c r="S16" s="162"/>
    </row>
    <row r="17" spans="2:19">
      <c r="B17" s="33" t="s">
        <v>68</v>
      </c>
      <c r="C17" s="34" t="s">
        <v>69</v>
      </c>
      <c r="D17" s="35" t="s">
        <v>26</v>
      </c>
      <c r="E17" s="36">
        <v>45721</v>
      </c>
      <c r="F17" s="37">
        <v>45772</v>
      </c>
      <c r="G17" s="38"/>
      <c r="H17" s="39"/>
      <c r="I17" s="9" t="s">
        <v>21</v>
      </c>
      <c r="J17" s="32">
        <v>45677</v>
      </c>
      <c r="K17" s="32" t="s">
        <v>22</v>
      </c>
      <c r="L17" s="72">
        <v>1544.04</v>
      </c>
      <c r="M17" s="72">
        <v>1690</v>
      </c>
      <c r="N17" s="40" t="s">
        <v>53</v>
      </c>
      <c r="O17" s="71">
        <v>2</v>
      </c>
      <c r="P17" s="14">
        <f>Table2[[#This Row],[Sale Cost]]-Table2[[#This Row],[Fare Cost]]</f>
        <v>145.96000000000004</v>
      </c>
      <c r="Q17" s="162">
        <f>MONTH(Table2[[#This Row],[Issued date]])</f>
        <v>1</v>
      </c>
      <c r="R17" s="166"/>
      <c r="S17" s="162"/>
    </row>
    <row r="18" spans="2:19">
      <c r="B18" s="33" t="s">
        <v>70</v>
      </c>
      <c r="C18" s="34" t="s">
        <v>71</v>
      </c>
      <c r="D18" s="35" t="s">
        <v>63</v>
      </c>
      <c r="E18" s="36">
        <v>45683</v>
      </c>
      <c r="F18" s="37">
        <v>45715</v>
      </c>
      <c r="G18" s="38"/>
      <c r="H18" s="39"/>
      <c r="I18" s="9" t="s">
        <v>21</v>
      </c>
      <c r="J18" s="32">
        <v>45677</v>
      </c>
      <c r="K18" s="32" t="s">
        <v>22</v>
      </c>
      <c r="L18" s="72">
        <v>553.61</v>
      </c>
      <c r="M18" s="72">
        <v>615</v>
      </c>
      <c r="N18" s="40" t="s">
        <v>72</v>
      </c>
      <c r="O18" s="71">
        <v>1</v>
      </c>
      <c r="P18" s="14">
        <f>Table2[[#This Row],[Sale Cost]]-Table2[[#This Row],[Fare Cost]]</f>
        <v>61.389999999999986</v>
      </c>
      <c r="Q18" s="162">
        <f>MONTH(Table2[[#This Row],[Issued date]])</f>
        <v>1</v>
      </c>
      <c r="R18" s="166"/>
      <c r="S18" s="162"/>
    </row>
    <row r="19" spans="2:19">
      <c r="B19" s="33" t="s">
        <v>73</v>
      </c>
      <c r="C19" s="34" t="s">
        <v>74</v>
      </c>
      <c r="D19" s="35" t="s">
        <v>46</v>
      </c>
      <c r="E19" s="36">
        <v>45746</v>
      </c>
      <c r="F19" s="37">
        <v>45791</v>
      </c>
      <c r="G19" s="38"/>
      <c r="H19" s="73"/>
      <c r="I19" s="9" t="s">
        <v>21</v>
      </c>
      <c r="J19" s="32">
        <v>45681</v>
      </c>
      <c r="K19" s="32" t="s">
        <v>22</v>
      </c>
      <c r="L19" s="72">
        <v>831.52</v>
      </c>
      <c r="M19" s="72">
        <v>795</v>
      </c>
      <c r="N19" s="40" t="s">
        <v>75</v>
      </c>
      <c r="O19" s="71">
        <v>0</v>
      </c>
      <c r="P19" s="14">
        <f>Table2[[#This Row],[Sale Cost]]-Table2[[#This Row],[Fare Cost]]</f>
        <v>-36.519999999999982</v>
      </c>
      <c r="Q19" s="162">
        <f>MONTH(Table2[[#This Row],[Issued date]])</f>
        <v>1</v>
      </c>
      <c r="R19" s="166"/>
      <c r="S19" s="162"/>
    </row>
    <row r="20" spans="2:19">
      <c r="B20" s="33" t="s">
        <v>76</v>
      </c>
      <c r="C20" s="34" t="s">
        <v>77</v>
      </c>
      <c r="D20" s="35" t="s">
        <v>26</v>
      </c>
      <c r="E20" s="36">
        <v>45682</v>
      </c>
      <c r="F20" s="37">
        <v>45757</v>
      </c>
      <c r="G20" s="38"/>
      <c r="H20" s="73"/>
      <c r="I20" s="9" t="s">
        <v>21</v>
      </c>
      <c r="J20" s="32">
        <v>45681</v>
      </c>
      <c r="K20" s="32" t="s">
        <v>22</v>
      </c>
      <c r="L20" s="72">
        <v>863.22</v>
      </c>
      <c r="M20" s="72">
        <v>1095</v>
      </c>
      <c r="N20" s="40"/>
      <c r="O20" s="71">
        <v>0</v>
      </c>
      <c r="P20" s="14">
        <f>Table2[[#This Row],[Sale Cost]]-Table2[[#This Row],[Fare Cost]]</f>
        <v>231.77999999999997</v>
      </c>
      <c r="Q20" s="162">
        <f>MONTH(Table2[[#This Row],[Issued date]])</f>
        <v>1</v>
      </c>
      <c r="R20" s="166"/>
      <c r="S20" s="162"/>
    </row>
    <row r="21" spans="2:19">
      <c r="B21" s="33" t="s">
        <v>78</v>
      </c>
      <c r="C21" s="34" t="s">
        <v>79</v>
      </c>
      <c r="D21" s="35" t="s">
        <v>46</v>
      </c>
      <c r="E21" s="36">
        <v>45837</v>
      </c>
      <c r="F21" s="37">
        <v>45896</v>
      </c>
      <c r="G21" s="38"/>
      <c r="H21" s="39"/>
      <c r="I21" s="9" t="s">
        <v>21</v>
      </c>
      <c r="J21" s="32">
        <v>45684</v>
      </c>
      <c r="K21" s="32" t="s">
        <v>22</v>
      </c>
      <c r="L21" s="72">
        <v>2162.2600000000002</v>
      </c>
      <c r="M21" s="72">
        <v>2465</v>
      </c>
      <c r="N21" s="40"/>
      <c r="O21" s="71">
        <v>3</v>
      </c>
      <c r="P21" s="14">
        <f>Table2[[#This Row],[Sale Cost]]-Table2[[#This Row],[Fare Cost]]</f>
        <v>302.73999999999978</v>
      </c>
      <c r="Q21" s="162">
        <f>MONTH(Table2[[#This Row],[Issued date]])</f>
        <v>1</v>
      </c>
      <c r="R21" s="166"/>
      <c r="S21" s="162"/>
    </row>
    <row r="22" spans="2:19">
      <c r="B22" s="33" t="s">
        <v>80</v>
      </c>
      <c r="C22" s="34" t="s">
        <v>81</v>
      </c>
      <c r="D22" s="35" t="s">
        <v>20</v>
      </c>
      <c r="E22" s="36">
        <v>45698</v>
      </c>
      <c r="F22" s="37">
        <v>45753</v>
      </c>
      <c r="G22" s="38"/>
      <c r="H22" s="73"/>
      <c r="I22" s="9" t="s">
        <v>21</v>
      </c>
      <c r="J22" s="32">
        <v>45688</v>
      </c>
      <c r="K22" s="32" t="s">
        <v>22</v>
      </c>
      <c r="L22" s="72">
        <v>908.17</v>
      </c>
      <c r="M22" s="72">
        <v>995</v>
      </c>
      <c r="N22" s="40" t="s">
        <v>82</v>
      </c>
      <c r="O22" s="71">
        <v>1</v>
      </c>
      <c r="P22" s="14">
        <f>Table2[[#This Row],[Sale Cost]]-Table2[[#This Row],[Fare Cost]]</f>
        <v>86.830000000000041</v>
      </c>
      <c r="Q22" s="162">
        <f>MONTH(Table2[[#This Row],[Issued date]])</f>
        <v>1</v>
      </c>
      <c r="R22" s="166"/>
      <c r="S22" s="162"/>
    </row>
    <row r="23" spans="2:19" s="86" customFormat="1">
      <c r="B23" s="86" t="s">
        <v>83</v>
      </c>
      <c r="C23" s="87" t="s">
        <v>84</v>
      </c>
      <c r="D23" s="88" t="s">
        <v>85</v>
      </c>
      <c r="E23" s="89">
        <v>45692</v>
      </c>
      <c r="F23" s="90"/>
      <c r="G23" s="91"/>
      <c r="H23" s="92"/>
      <c r="I23" s="93" t="s">
        <v>21</v>
      </c>
      <c r="J23" s="94">
        <v>45690</v>
      </c>
      <c r="K23" s="94" t="s">
        <v>22</v>
      </c>
      <c r="L23" s="95">
        <v>405.9</v>
      </c>
      <c r="M23" s="95">
        <v>455</v>
      </c>
      <c r="N23" s="96" t="s">
        <v>86</v>
      </c>
      <c r="O23" s="93">
        <v>2</v>
      </c>
      <c r="P23" s="97">
        <f>Table2[[#This Row],[Sale Cost]]-Table2[[#This Row],[Fare Cost]]</f>
        <v>49.100000000000023</v>
      </c>
      <c r="Q23" s="86">
        <f>MONTH(Table2[[#This Row],[Issued date]])</f>
        <v>2</v>
      </c>
      <c r="R23" s="87"/>
    </row>
    <row r="24" spans="2:19">
      <c r="B24" s="33" t="s">
        <v>87</v>
      </c>
      <c r="C24" s="34" t="s">
        <v>88</v>
      </c>
      <c r="D24" s="35" t="s">
        <v>89</v>
      </c>
      <c r="E24" s="36">
        <v>45691</v>
      </c>
      <c r="F24" s="37">
        <v>45723</v>
      </c>
      <c r="G24" s="38"/>
      <c r="H24" s="39"/>
      <c r="I24" s="9" t="s">
        <v>21</v>
      </c>
      <c r="J24" s="32">
        <v>45691</v>
      </c>
      <c r="K24" s="32" t="s">
        <v>22</v>
      </c>
      <c r="L24" s="72">
        <v>2042.92</v>
      </c>
      <c r="M24" s="72">
        <v>2400</v>
      </c>
      <c r="N24" s="40" t="s">
        <v>90</v>
      </c>
      <c r="O24" s="71">
        <v>2</v>
      </c>
      <c r="P24" s="14">
        <f>Table2[[#This Row],[Sale Cost]]-Table2[[#This Row],[Fare Cost]]</f>
        <v>357.07999999999993</v>
      </c>
      <c r="Q24" s="162">
        <f>MONTH(Table2[[#This Row],[Issued date]])</f>
        <v>2</v>
      </c>
      <c r="R24" s="166"/>
      <c r="S24" s="162"/>
    </row>
    <row r="25" spans="2:19">
      <c r="B25" s="33" t="s">
        <v>91</v>
      </c>
      <c r="C25" s="34" t="s">
        <v>92</v>
      </c>
      <c r="D25" s="35" t="s">
        <v>20</v>
      </c>
      <c r="E25" s="36">
        <v>45697</v>
      </c>
      <c r="F25" s="37">
        <v>45724</v>
      </c>
      <c r="G25" s="38"/>
      <c r="H25" s="39"/>
      <c r="I25" s="9" t="s">
        <v>21</v>
      </c>
      <c r="J25" s="32">
        <v>45694</v>
      </c>
      <c r="K25" s="32" t="s">
        <v>22</v>
      </c>
      <c r="L25" s="72">
        <v>749.87</v>
      </c>
      <c r="M25" s="72">
        <v>845</v>
      </c>
      <c r="N25" s="40" t="s">
        <v>93</v>
      </c>
      <c r="O25" s="71">
        <v>1</v>
      </c>
      <c r="P25" s="14">
        <f>Table2[[#This Row],[Sale Cost]]-Table2[[#This Row],[Fare Cost]]</f>
        <v>95.13</v>
      </c>
      <c r="Q25" s="162">
        <f>MONTH(Table2[[#This Row],[Issued date]])</f>
        <v>2</v>
      </c>
      <c r="R25" s="166"/>
      <c r="S25" s="162"/>
    </row>
    <row r="26" spans="2:19">
      <c r="B26" s="33" t="s">
        <v>94</v>
      </c>
      <c r="C26" s="34" t="s">
        <v>95</v>
      </c>
      <c r="D26" s="35" t="s">
        <v>20</v>
      </c>
      <c r="E26" s="36">
        <v>45770</v>
      </c>
      <c r="F26" s="37">
        <v>45804</v>
      </c>
      <c r="G26" s="38"/>
      <c r="H26" s="39"/>
      <c r="I26" s="9" t="s">
        <v>21</v>
      </c>
      <c r="J26" s="85">
        <v>45711</v>
      </c>
      <c r="K26" s="32" t="s">
        <v>22</v>
      </c>
      <c r="L26" s="72">
        <v>700.27</v>
      </c>
      <c r="M26" s="72">
        <v>775</v>
      </c>
      <c r="N26" s="40" t="s">
        <v>96</v>
      </c>
      <c r="O26" s="71">
        <v>1</v>
      </c>
      <c r="P26" s="14">
        <f>Table2[[#This Row],[Sale Cost]]-Table2[[#This Row],[Fare Cost]]</f>
        <v>74.730000000000018</v>
      </c>
      <c r="Q26" s="162">
        <f>MONTH(Table2[[#This Row],[Issued date]])</f>
        <v>2</v>
      </c>
      <c r="R26" s="166"/>
      <c r="S26" s="162"/>
    </row>
    <row r="27" spans="2:19" s="50" customFormat="1">
      <c r="B27" s="33" t="s">
        <v>97</v>
      </c>
      <c r="C27" s="34" t="s">
        <v>98</v>
      </c>
      <c r="D27" s="35" t="s">
        <v>26</v>
      </c>
      <c r="E27" s="36">
        <v>45706</v>
      </c>
      <c r="F27" s="37">
        <v>45730</v>
      </c>
      <c r="G27" s="38"/>
      <c r="H27" s="39"/>
      <c r="I27" s="9" t="s">
        <v>21</v>
      </c>
      <c r="J27" s="32">
        <v>45696</v>
      </c>
      <c r="K27" s="32" t="s">
        <v>22</v>
      </c>
      <c r="L27" s="72">
        <v>643.82000000000005</v>
      </c>
      <c r="M27" s="72">
        <v>695</v>
      </c>
      <c r="N27" s="40" t="s">
        <v>99</v>
      </c>
      <c r="O27" s="71">
        <v>2</v>
      </c>
      <c r="P27" s="14">
        <f>Table2[[#This Row],[Sale Cost]]-Table2[[#This Row],[Fare Cost]]</f>
        <v>51.17999999999995</v>
      </c>
      <c r="Q27" s="162">
        <f>MONTH(Table2[[#This Row],[Issued date]])</f>
        <v>2</v>
      </c>
      <c r="R27" s="166"/>
      <c r="S27" s="162"/>
    </row>
    <row r="28" spans="2:19">
      <c r="B28" s="33" t="s">
        <v>100</v>
      </c>
      <c r="C28" s="34" t="s">
        <v>101</v>
      </c>
      <c r="D28" s="35" t="s">
        <v>26</v>
      </c>
      <c r="E28" s="36">
        <v>45707</v>
      </c>
      <c r="F28" s="37">
        <v>45743</v>
      </c>
      <c r="G28" s="38"/>
      <c r="H28" s="73"/>
      <c r="I28" s="9" t="s">
        <v>21</v>
      </c>
      <c r="J28" s="32">
        <v>45705</v>
      </c>
      <c r="K28" s="71" t="s">
        <v>22</v>
      </c>
      <c r="L28" s="72">
        <v>643.52</v>
      </c>
      <c r="M28" s="72">
        <v>725</v>
      </c>
      <c r="N28" s="40" t="s">
        <v>102</v>
      </c>
      <c r="O28" s="71">
        <v>1</v>
      </c>
      <c r="P28" s="14">
        <f>Table2[[#This Row],[Sale Cost]]-Table2[[#This Row],[Fare Cost]]</f>
        <v>81.480000000000018</v>
      </c>
      <c r="Q28" s="162">
        <f>MONTH(Table2[[#This Row],[Issued date]])</f>
        <v>2</v>
      </c>
      <c r="R28" s="166"/>
      <c r="S28" s="162"/>
    </row>
    <row r="29" spans="2:19">
      <c r="B29" s="33" t="s">
        <v>103</v>
      </c>
      <c r="C29" s="34" t="s">
        <v>104</v>
      </c>
      <c r="D29" s="35" t="s">
        <v>26</v>
      </c>
      <c r="E29" s="36">
        <v>45742</v>
      </c>
      <c r="F29" s="37">
        <v>45755</v>
      </c>
      <c r="G29" s="38"/>
      <c r="H29" s="73"/>
      <c r="I29" s="9" t="s">
        <v>21</v>
      </c>
      <c r="J29" s="32">
        <v>45705</v>
      </c>
      <c r="K29" s="71" t="s">
        <v>22</v>
      </c>
      <c r="L29" s="72">
        <v>1000.52</v>
      </c>
      <c r="M29" s="72">
        <v>1095</v>
      </c>
      <c r="N29" s="40" t="s">
        <v>105</v>
      </c>
      <c r="O29" s="71">
        <v>1</v>
      </c>
      <c r="P29" s="14">
        <f>Table2[[#This Row],[Sale Cost]]-Table2[[#This Row],[Fare Cost]]</f>
        <v>94.480000000000018</v>
      </c>
      <c r="Q29" s="162">
        <f>MONTH(Table2[[#This Row],[Issued date]])</f>
        <v>2</v>
      </c>
      <c r="R29" s="166"/>
      <c r="S29" s="162"/>
    </row>
    <row r="30" spans="2:19">
      <c r="B30" s="33" t="s">
        <v>106</v>
      </c>
      <c r="C30" s="34" t="s">
        <v>107</v>
      </c>
      <c r="D30" s="35" t="s">
        <v>46</v>
      </c>
      <c r="E30" s="36">
        <v>45667</v>
      </c>
      <c r="F30" s="37">
        <v>45714</v>
      </c>
      <c r="G30" s="38"/>
      <c r="H30" s="73"/>
      <c r="I30" s="9" t="s">
        <v>21</v>
      </c>
      <c r="J30" s="32">
        <v>45706</v>
      </c>
      <c r="K30" s="71" t="s">
        <v>47</v>
      </c>
      <c r="L30" s="72">
        <v>20</v>
      </c>
      <c r="M30" s="72">
        <v>175</v>
      </c>
      <c r="N30" s="40" t="s">
        <v>108</v>
      </c>
      <c r="O30" s="71">
        <v>1</v>
      </c>
      <c r="P30" s="14">
        <f>Table2[[#This Row],[Sale Cost]]-Table2[[#This Row],[Fare Cost]]</f>
        <v>155</v>
      </c>
      <c r="Q30" s="162">
        <f>MONTH(Table2[[#This Row],[Issued date]])</f>
        <v>2</v>
      </c>
      <c r="R30" s="166"/>
      <c r="S30" s="162"/>
    </row>
    <row r="31" spans="2:19">
      <c r="B31" s="33" t="s">
        <v>109</v>
      </c>
      <c r="C31" s="34" t="s">
        <v>110</v>
      </c>
      <c r="D31" s="35" t="s">
        <v>30</v>
      </c>
      <c r="E31" s="36">
        <v>45711</v>
      </c>
      <c r="F31" s="37">
        <v>45733</v>
      </c>
      <c r="G31" s="38"/>
      <c r="H31" s="73"/>
      <c r="I31" s="9" t="s">
        <v>21</v>
      </c>
      <c r="J31" s="32">
        <v>45706</v>
      </c>
      <c r="K31" s="71" t="s">
        <v>22</v>
      </c>
      <c r="L31" s="72">
        <v>525.22</v>
      </c>
      <c r="M31" s="72">
        <v>595</v>
      </c>
      <c r="N31" s="40" t="s">
        <v>111</v>
      </c>
      <c r="O31" s="71">
        <v>0</v>
      </c>
      <c r="P31" s="14">
        <f>Table2[[#This Row],[Sale Cost]]-Table2[[#This Row],[Fare Cost]]</f>
        <v>69.779999999999973</v>
      </c>
      <c r="Q31" s="162">
        <f>MONTH(Table2[[#This Row],[Issued date]])</f>
        <v>2</v>
      </c>
      <c r="R31" s="166"/>
      <c r="S31" s="162"/>
    </row>
    <row r="32" spans="2:19">
      <c r="B32" s="33" t="s">
        <v>112</v>
      </c>
      <c r="C32" s="34" t="s">
        <v>113</v>
      </c>
      <c r="D32" s="35" t="s">
        <v>30</v>
      </c>
      <c r="E32" s="36">
        <v>45727</v>
      </c>
      <c r="F32" s="74">
        <v>45799</v>
      </c>
      <c r="G32" s="38"/>
      <c r="H32" s="73"/>
      <c r="I32" s="9" t="s">
        <v>21</v>
      </c>
      <c r="J32" s="32">
        <v>45707</v>
      </c>
      <c r="K32" s="71" t="s">
        <v>22</v>
      </c>
      <c r="L32" s="72">
        <v>525.12</v>
      </c>
      <c r="M32" s="72">
        <v>595</v>
      </c>
      <c r="N32" s="40" t="s">
        <v>111</v>
      </c>
      <c r="O32" s="71">
        <v>2</v>
      </c>
      <c r="P32" s="14">
        <f>Table2[[#This Row],[Sale Cost]]-Table2[[#This Row],[Fare Cost]]</f>
        <v>69.88</v>
      </c>
      <c r="Q32" s="162">
        <f>MONTH(Table2[[#This Row],[Issued date]])</f>
        <v>2</v>
      </c>
      <c r="R32" s="166"/>
      <c r="S32" s="162"/>
    </row>
    <row r="33" spans="2:19">
      <c r="B33" s="33" t="s">
        <v>114</v>
      </c>
      <c r="C33" s="34" t="s">
        <v>115</v>
      </c>
      <c r="D33" s="35" t="s">
        <v>20</v>
      </c>
      <c r="E33" s="36">
        <v>45739</v>
      </c>
      <c r="F33" s="37">
        <v>45770</v>
      </c>
      <c r="G33" s="38"/>
      <c r="H33" s="73"/>
      <c r="I33" s="9" t="s">
        <v>21</v>
      </c>
      <c r="J33" s="32">
        <v>45709</v>
      </c>
      <c r="K33" s="71" t="s">
        <v>22</v>
      </c>
      <c r="L33" s="72">
        <v>2281.64</v>
      </c>
      <c r="M33" s="72">
        <v>2430</v>
      </c>
      <c r="N33" s="40" t="s">
        <v>116</v>
      </c>
      <c r="O33" s="71">
        <v>2</v>
      </c>
      <c r="P33" s="14">
        <f>Table2[[#This Row],[Sale Cost]]-Table2[[#This Row],[Fare Cost]]</f>
        <v>148.36000000000013</v>
      </c>
      <c r="Q33" s="162">
        <f>MONTH(Table2[[#This Row],[Issued date]])</f>
        <v>2</v>
      </c>
      <c r="R33" s="166"/>
      <c r="S33" s="162"/>
    </row>
    <row r="34" spans="2:19">
      <c r="B34" s="33" t="s">
        <v>117</v>
      </c>
      <c r="C34" s="34" t="s">
        <v>118</v>
      </c>
      <c r="D34" s="35" t="s">
        <v>63</v>
      </c>
      <c r="E34" s="36">
        <v>45854</v>
      </c>
      <c r="F34" s="37">
        <v>45894</v>
      </c>
      <c r="G34" s="38"/>
      <c r="H34" s="73"/>
      <c r="I34" s="9" t="s">
        <v>119</v>
      </c>
      <c r="J34" s="32">
        <v>45710</v>
      </c>
      <c r="K34" s="71" t="s">
        <v>22</v>
      </c>
      <c r="L34" s="72">
        <v>4260</v>
      </c>
      <c r="M34" s="72">
        <v>4460</v>
      </c>
      <c r="N34" s="40" t="s">
        <v>120</v>
      </c>
      <c r="O34" s="71">
        <v>4</v>
      </c>
      <c r="P34" s="14">
        <f>Table2[[#This Row],[Sale Cost]]-Table2[[#This Row],[Fare Cost]]</f>
        <v>200</v>
      </c>
      <c r="Q34" s="162">
        <f>MONTH(Table2[[#This Row],[Issued date]])</f>
        <v>2</v>
      </c>
      <c r="R34" s="166"/>
      <c r="S34" s="162"/>
    </row>
    <row r="35" spans="2:19">
      <c r="B35" s="33" t="s">
        <v>121</v>
      </c>
      <c r="C35" s="34" t="s">
        <v>122</v>
      </c>
      <c r="D35" s="35" t="s">
        <v>26</v>
      </c>
      <c r="E35" s="36">
        <v>45735</v>
      </c>
      <c r="F35" s="37">
        <v>45748</v>
      </c>
      <c r="G35" s="38"/>
      <c r="H35" s="73"/>
      <c r="I35" s="9" t="s">
        <v>21</v>
      </c>
      <c r="J35" s="32">
        <v>45714</v>
      </c>
      <c r="K35" s="71" t="s">
        <v>22</v>
      </c>
      <c r="L35" s="72">
        <v>793.22</v>
      </c>
      <c r="M35" s="72">
        <v>865</v>
      </c>
      <c r="N35" s="40" t="s">
        <v>123</v>
      </c>
      <c r="O35" s="71">
        <v>1</v>
      </c>
      <c r="P35" s="14">
        <f>Table2[[#This Row],[Sale Cost]]-Table2[[#This Row],[Fare Cost]]</f>
        <v>71.779999999999973</v>
      </c>
      <c r="Q35" s="162">
        <f>MONTH(Table2[[#This Row],[Issued date]])</f>
        <v>2</v>
      </c>
      <c r="R35" s="166"/>
      <c r="S35" s="162"/>
    </row>
    <row r="36" spans="2:19">
      <c r="B36" s="33" t="s">
        <v>124</v>
      </c>
      <c r="C36" s="34" t="s">
        <v>125</v>
      </c>
      <c r="D36" s="35" t="s">
        <v>126</v>
      </c>
      <c r="E36" s="36">
        <v>45762</v>
      </c>
      <c r="F36" s="37">
        <v>45772</v>
      </c>
      <c r="G36" s="38"/>
      <c r="H36" s="73"/>
      <c r="I36" s="9" t="s">
        <v>21</v>
      </c>
      <c r="J36" s="32">
        <v>45714</v>
      </c>
      <c r="K36" s="71" t="s">
        <v>22</v>
      </c>
      <c r="L36" s="72">
        <v>1555</v>
      </c>
      <c r="N36" s="40" t="s">
        <v>127</v>
      </c>
      <c r="O36" s="71">
        <v>0</v>
      </c>
      <c r="P36" s="14">
        <f>Table2[[#This Row],[Sale Cost]]-Table2[[#This Row],[Fare Cost]]</f>
        <v>-1555</v>
      </c>
      <c r="Q36" s="162">
        <f>MONTH(Table2[[#This Row],[Issued date]])</f>
        <v>2</v>
      </c>
      <c r="R36" s="166"/>
      <c r="S36" s="162"/>
    </row>
    <row r="37" spans="2:19">
      <c r="B37" s="33" t="s">
        <v>124</v>
      </c>
      <c r="C37" s="34" t="s">
        <v>128</v>
      </c>
      <c r="D37" s="35" t="s">
        <v>26</v>
      </c>
      <c r="E37" s="36">
        <v>45723</v>
      </c>
      <c r="F37" s="37"/>
      <c r="G37" s="38"/>
      <c r="H37" s="73"/>
      <c r="I37" s="9" t="s">
        <v>21</v>
      </c>
      <c r="J37" s="32">
        <v>45715</v>
      </c>
      <c r="K37" s="71" t="s">
        <v>22</v>
      </c>
      <c r="L37" s="72">
        <v>727.84</v>
      </c>
      <c r="N37" s="40" t="s">
        <v>127</v>
      </c>
      <c r="O37" s="71">
        <v>0</v>
      </c>
      <c r="P37" s="14">
        <f>Table2[[#This Row],[Sale Cost]]-Table2[[#This Row],[Fare Cost]]</f>
        <v>-727.84</v>
      </c>
      <c r="Q37" s="162">
        <f>MONTH(Table2[[#This Row],[Issued date]])</f>
        <v>2</v>
      </c>
      <c r="R37" s="166"/>
      <c r="S37" s="162"/>
    </row>
    <row r="38" spans="2:19">
      <c r="B38" s="33" t="s">
        <v>129</v>
      </c>
      <c r="C38" s="34" t="s">
        <v>130</v>
      </c>
      <c r="D38" s="35" t="s">
        <v>20</v>
      </c>
      <c r="E38" s="36">
        <v>45748</v>
      </c>
      <c r="F38" s="37">
        <v>45806</v>
      </c>
      <c r="G38" s="38"/>
      <c r="H38" s="73"/>
      <c r="I38" s="9" t="s">
        <v>21</v>
      </c>
      <c r="J38" s="32">
        <v>45716</v>
      </c>
      <c r="K38" s="71" t="s">
        <v>22</v>
      </c>
      <c r="L38" s="72">
        <v>921.12</v>
      </c>
      <c r="M38" s="72">
        <v>995</v>
      </c>
      <c r="N38" s="40" t="s">
        <v>131</v>
      </c>
      <c r="O38" s="71">
        <v>0</v>
      </c>
      <c r="P38" s="14">
        <f>Table2[[#This Row],[Sale Cost]]-Table2[[#This Row],[Fare Cost]]</f>
        <v>73.88</v>
      </c>
      <c r="Q38" s="162">
        <f>MONTH(Table2[[#This Row],[Issued date]])</f>
        <v>2</v>
      </c>
      <c r="R38" s="166"/>
      <c r="S38" s="162"/>
    </row>
    <row r="39" spans="2:19">
      <c r="B39" s="33" t="s">
        <v>132</v>
      </c>
      <c r="C39" s="34" t="s">
        <v>133</v>
      </c>
      <c r="D39" s="35" t="s">
        <v>20</v>
      </c>
      <c r="E39" s="36">
        <v>45788</v>
      </c>
      <c r="F39" s="37">
        <v>45806</v>
      </c>
      <c r="G39" s="32"/>
      <c r="H39" s="73"/>
      <c r="I39" s="9" t="s">
        <v>21</v>
      </c>
      <c r="J39" s="32">
        <v>45716</v>
      </c>
      <c r="K39" s="71" t="s">
        <v>22</v>
      </c>
      <c r="L39" s="72">
        <v>637.12</v>
      </c>
      <c r="M39" s="72">
        <v>695</v>
      </c>
      <c r="N39" s="40" t="s">
        <v>131</v>
      </c>
      <c r="O39" s="71">
        <v>0</v>
      </c>
      <c r="P39" s="14">
        <f>Table2[[#This Row],[Sale Cost]]-Table2[[#This Row],[Fare Cost]]</f>
        <v>57.879999999999995</v>
      </c>
      <c r="Q39" s="162">
        <f>MONTH(Table2[[#This Row],[Issued date]])</f>
        <v>2</v>
      </c>
      <c r="R39" s="166"/>
      <c r="S39" s="162"/>
    </row>
    <row r="40" spans="2:19" s="86" customFormat="1">
      <c r="B40" s="86" t="s">
        <v>134</v>
      </c>
      <c r="C40" s="87" t="s">
        <v>135</v>
      </c>
      <c r="D40" s="88" t="s">
        <v>20</v>
      </c>
      <c r="E40" s="89">
        <v>45727</v>
      </c>
      <c r="F40" s="90">
        <v>45751</v>
      </c>
      <c r="G40" s="91"/>
      <c r="H40" s="92"/>
      <c r="I40" s="141" t="s">
        <v>21</v>
      </c>
      <c r="J40" s="94">
        <v>45717</v>
      </c>
      <c r="K40" s="94" t="s">
        <v>22</v>
      </c>
      <c r="L40" s="95">
        <v>1855.91</v>
      </c>
      <c r="M40" s="95">
        <v>1856</v>
      </c>
      <c r="N40" s="96"/>
      <c r="O40" s="93">
        <v>0</v>
      </c>
      <c r="P40" s="97">
        <f>Table2[[#This Row],[Sale Cost]]-Table2[[#This Row],[Fare Cost]]</f>
        <v>8.9999999999918145E-2</v>
      </c>
      <c r="Q40" s="86">
        <f>MONTH(Table2[[#This Row],[Issued date]])</f>
        <v>3</v>
      </c>
      <c r="R40" s="87"/>
    </row>
    <row r="41" spans="2:19">
      <c r="B41" s="33" t="s">
        <v>136</v>
      </c>
      <c r="C41" s="34" t="s">
        <v>137</v>
      </c>
      <c r="D41" s="35" t="s">
        <v>30</v>
      </c>
      <c r="E41" s="36">
        <v>45721</v>
      </c>
      <c r="F41" s="37">
        <v>45783</v>
      </c>
      <c r="G41" s="38"/>
      <c r="H41" s="73"/>
      <c r="I41" s="9" t="s">
        <v>21</v>
      </c>
      <c r="J41" s="32">
        <v>45717</v>
      </c>
      <c r="K41" s="32" t="s">
        <v>22</v>
      </c>
      <c r="L41" s="72">
        <v>568.91999999999996</v>
      </c>
      <c r="M41" s="72">
        <v>630</v>
      </c>
      <c r="N41" s="40" t="s">
        <v>138</v>
      </c>
      <c r="O41" s="71">
        <v>1</v>
      </c>
      <c r="P41" s="14">
        <f>Table2[[#This Row],[Sale Cost]]-Table2[[#This Row],[Fare Cost]]</f>
        <v>61.080000000000041</v>
      </c>
      <c r="Q41" s="162">
        <f>MONTH(Table2[[#This Row],[Issued date]])</f>
        <v>3</v>
      </c>
      <c r="R41" s="166"/>
      <c r="S41" s="162"/>
    </row>
    <row r="42" spans="2:19">
      <c r="B42" s="33" t="s">
        <v>139</v>
      </c>
      <c r="C42" s="34" t="s">
        <v>140</v>
      </c>
      <c r="D42" s="35" t="s">
        <v>30</v>
      </c>
      <c r="E42" s="36">
        <v>45717</v>
      </c>
      <c r="F42" s="37">
        <v>45733</v>
      </c>
      <c r="G42" s="38"/>
      <c r="H42" s="73"/>
      <c r="I42" s="9" t="s">
        <v>21</v>
      </c>
      <c r="J42" s="32">
        <v>45717</v>
      </c>
      <c r="K42" s="32" t="s">
        <v>22</v>
      </c>
      <c r="L42" s="72">
        <v>1761.84</v>
      </c>
      <c r="M42" s="72">
        <v>1890</v>
      </c>
      <c r="N42" s="40" t="s">
        <v>141</v>
      </c>
      <c r="O42" s="71">
        <v>2</v>
      </c>
      <c r="P42" s="14">
        <f>Table2[[#This Row],[Sale Cost]]-Table2[[#This Row],[Fare Cost]]</f>
        <v>128.16000000000008</v>
      </c>
      <c r="Q42" s="162">
        <f>MONTH(Table2[[#This Row],[Issued date]])</f>
        <v>3</v>
      </c>
      <c r="R42" s="166"/>
      <c r="S42" s="162"/>
    </row>
    <row r="43" spans="2:19">
      <c r="B43" s="33" t="s">
        <v>142</v>
      </c>
      <c r="C43" s="34" t="s">
        <v>143</v>
      </c>
      <c r="D43" s="35" t="s">
        <v>26</v>
      </c>
      <c r="E43" s="36">
        <v>45722</v>
      </c>
      <c r="F43" s="37">
        <v>45746</v>
      </c>
      <c r="G43" s="38"/>
      <c r="H43" s="73"/>
      <c r="I43" s="9" t="s">
        <v>21</v>
      </c>
      <c r="J43" s="32">
        <v>45722</v>
      </c>
      <c r="K43" s="71" t="s">
        <v>22</v>
      </c>
      <c r="L43" s="72">
        <v>740.42</v>
      </c>
      <c r="M43" s="72">
        <v>920</v>
      </c>
      <c r="N43" s="40" t="s">
        <v>144</v>
      </c>
      <c r="O43" s="71">
        <v>1</v>
      </c>
      <c r="P43" s="14">
        <f>Table2[[#This Row],[Sale Cost]]-Table2[[#This Row],[Fare Cost]]</f>
        <v>179.58000000000004</v>
      </c>
      <c r="Q43" s="162">
        <f>MONTH(Table2[[#This Row],[Issued date]])</f>
        <v>3</v>
      </c>
      <c r="R43" s="166"/>
      <c r="S43" s="162"/>
    </row>
    <row r="44" spans="2:19">
      <c r="B44" s="33" t="s">
        <v>145</v>
      </c>
      <c r="C44" s="34" t="s">
        <v>146</v>
      </c>
      <c r="D44" s="35" t="s">
        <v>30</v>
      </c>
      <c r="E44" s="36">
        <v>45804</v>
      </c>
      <c r="F44" s="37">
        <v>45823</v>
      </c>
      <c r="G44" s="38"/>
      <c r="H44" s="73"/>
      <c r="I44" s="9" t="s">
        <v>21</v>
      </c>
      <c r="J44" s="32">
        <v>45725</v>
      </c>
      <c r="K44" s="32" t="s">
        <v>22</v>
      </c>
      <c r="L44" s="72">
        <v>3366.12</v>
      </c>
      <c r="M44" s="72">
        <v>3660</v>
      </c>
      <c r="N44" s="40" t="s">
        <v>147</v>
      </c>
      <c r="O44" s="71">
        <v>6</v>
      </c>
      <c r="P44" s="14">
        <f>Table2[[#This Row],[Sale Cost]]-Table2[[#This Row],[Fare Cost]]</f>
        <v>293.88000000000011</v>
      </c>
      <c r="Q44" s="162">
        <f>MONTH(Table2[[#This Row],[Issued date]])</f>
        <v>3</v>
      </c>
      <c r="R44" s="166"/>
      <c r="S44" s="162"/>
    </row>
    <row r="45" spans="2:19">
      <c r="B45" s="33" t="s">
        <v>142</v>
      </c>
      <c r="C45" s="34" t="s">
        <v>143</v>
      </c>
      <c r="D45" s="35" t="s">
        <v>26</v>
      </c>
      <c r="E45" s="36">
        <v>45723</v>
      </c>
      <c r="F45" s="37">
        <v>45746</v>
      </c>
      <c r="G45" s="38"/>
      <c r="H45" s="75"/>
      <c r="I45" s="98" t="s">
        <v>21</v>
      </c>
      <c r="J45" s="32">
        <v>45729</v>
      </c>
      <c r="K45" s="32" t="s">
        <v>47</v>
      </c>
      <c r="L45" s="72">
        <v>19</v>
      </c>
      <c r="M45" s="72">
        <v>175</v>
      </c>
      <c r="N45" s="40" t="s">
        <v>144</v>
      </c>
      <c r="O45" s="71">
        <v>1</v>
      </c>
      <c r="P45" s="14">
        <f>Table2[[#This Row],[Sale Cost]]-Table2[[#This Row],[Fare Cost]]</f>
        <v>156</v>
      </c>
      <c r="Q45" s="162">
        <f>MONTH(Table2[[#This Row],[Issued date]])</f>
        <v>3</v>
      </c>
      <c r="R45" s="166"/>
      <c r="S45" s="162"/>
    </row>
    <row r="46" spans="2:19" s="50" customFormat="1">
      <c r="B46" s="33" t="s">
        <v>148</v>
      </c>
      <c r="C46" s="34" t="s">
        <v>149</v>
      </c>
      <c r="D46" s="35" t="s">
        <v>20</v>
      </c>
      <c r="E46" s="36">
        <v>45784</v>
      </c>
      <c r="F46" s="37">
        <v>45825</v>
      </c>
      <c r="G46" s="38"/>
      <c r="H46" s="73"/>
      <c r="I46" s="9" t="s">
        <v>21</v>
      </c>
      <c r="J46" s="32">
        <v>45730</v>
      </c>
      <c r="K46" s="71" t="s">
        <v>22</v>
      </c>
      <c r="L46" s="72">
        <v>683.18</v>
      </c>
      <c r="M46" s="72">
        <v>775</v>
      </c>
      <c r="N46" s="40" t="s">
        <v>150</v>
      </c>
      <c r="O46" s="71">
        <v>1</v>
      </c>
      <c r="P46" s="14">
        <f>Table2[[#This Row],[Sale Cost]]-Table2[[#This Row],[Fare Cost]]</f>
        <v>91.82000000000005</v>
      </c>
      <c r="Q46" s="162">
        <f>MONTH(Table2[[#This Row],[Issued date]])</f>
        <v>3</v>
      </c>
      <c r="R46" s="166"/>
      <c r="S46" s="162"/>
    </row>
    <row r="47" spans="2:19">
      <c r="B47" s="33" t="s">
        <v>151</v>
      </c>
      <c r="C47" s="34" t="s">
        <v>152</v>
      </c>
      <c r="D47" s="35" t="s">
        <v>20</v>
      </c>
      <c r="E47" s="36">
        <v>45768</v>
      </c>
      <c r="F47" s="37">
        <v>45790</v>
      </c>
      <c r="G47" s="38"/>
      <c r="H47" s="73"/>
      <c r="I47" s="9" t="s">
        <v>21</v>
      </c>
      <c r="J47" s="32">
        <v>45730</v>
      </c>
      <c r="K47" s="32" t="s">
        <v>22</v>
      </c>
      <c r="L47" s="72">
        <v>826.18</v>
      </c>
      <c r="M47" s="72">
        <v>895</v>
      </c>
      <c r="N47" s="40" t="s">
        <v>153</v>
      </c>
      <c r="O47" s="71">
        <v>2</v>
      </c>
      <c r="P47" s="14">
        <f>Table2[[#This Row],[Sale Cost]]-Table2[[#This Row],[Fare Cost]]</f>
        <v>68.82000000000005</v>
      </c>
      <c r="Q47" s="162">
        <f>MONTH(Table2[[#This Row],[Issued date]])</f>
        <v>3</v>
      </c>
      <c r="R47" s="166"/>
      <c r="S47" s="162"/>
    </row>
    <row r="48" spans="2:19">
      <c r="B48" s="33" t="s">
        <v>154</v>
      </c>
      <c r="C48" s="34" t="s">
        <v>155</v>
      </c>
      <c r="D48" s="35" t="s">
        <v>26</v>
      </c>
      <c r="E48" s="36">
        <v>45731</v>
      </c>
      <c r="F48" s="37">
        <v>45753</v>
      </c>
      <c r="G48" s="38"/>
      <c r="H48" s="73"/>
      <c r="I48" s="9" t="s">
        <v>21</v>
      </c>
      <c r="J48" s="32">
        <v>45730</v>
      </c>
      <c r="K48" s="32" t="s">
        <v>22</v>
      </c>
      <c r="L48" s="72">
        <v>1034.52</v>
      </c>
      <c r="M48" s="72">
        <v>1175</v>
      </c>
      <c r="N48" s="40" t="s">
        <v>93</v>
      </c>
      <c r="O48" s="71">
        <v>1</v>
      </c>
      <c r="P48" s="14">
        <f>Table2[[#This Row],[Sale Cost]]-Table2[[#This Row],[Fare Cost]]</f>
        <v>140.48000000000002</v>
      </c>
      <c r="Q48" s="162">
        <f>MONTH(Table2[[#This Row],[Issued date]])</f>
        <v>3</v>
      </c>
      <c r="R48" s="166"/>
      <c r="S48" s="162"/>
    </row>
    <row r="49" spans="2:19">
      <c r="B49" s="33" t="s">
        <v>156</v>
      </c>
      <c r="C49" s="34" t="s">
        <v>157</v>
      </c>
      <c r="D49" s="35" t="s">
        <v>158</v>
      </c>
      <c r="E49" s="36">
        <v>45735</v>
      </c>
      <c r="F49" s="37">
        <v>45756</v>
      </c>
      <c r="G49" s="38"/>
      <c r="H49" s="73"/>
      <c r="I49" s="9" t="s">
        <v>21</v>
      </c>
      <c r="J49" s="32">
        <v>45731</v>
      </c>
      <c r="K49" s="32" t="s">
        <v>22</v>
      </c>
      <c r="L49" s="72">
        <v>676.12</v>
      </c>
      <c r="M49" s="72">
        <v>865</v>
      </c>
      <c r="N49" s="40"/>
      <c r="O49" s="71">
        <v>0</v>
      </c>
      <c r="P49" s="14">
        <f>Table2[[#This Row],[Sale Cost]]-Table2[[#This Row],[Fare Cost]]</f>
        <v>188.88</v>
      </c>
      <c r="Q49" s="162">
        <f>MONTH(Table2[[#This Row],[Issued date]])</f>
        <v>3</v>
      </c>
      <c r="R49" s="166"/>
      <c r="S49" s="162"/>
    </row>
    <row r="50" spans="2:19">
      <c r="B50" s="33" t="s">
        <v>159</v>
      </c>
      <c r="C50" s="34" t="s">
        <v>160</v>
      </c>
      <c r="D50" s="35" t="s">
        <v>30</v>
      </c>
      <c r="E50" s="36">
        <v>45807</v>
      </c>
      <c r="F50" s="37">
        <v>45823</v>
      </c>
      <c r="G50" s="38"/>
      <c r="H50" s="73"/>
      <c r="I50" s="9" t="s">
        <v>21</v>
      </c>
      <c r="J50" s="32">
        <v>45732</v>
      </c>
      <c r="K50" s="32" t="s">
        <v>22</v>
      </c>
      <c r="L50" s="72">
        <v>1089.04</v>
      </c>
      <c r="M50" s="72">
        <v>1200</v>
      </c>
      <c r="N50" s="40" t="s">
        <v>147</v>
      </c>
      <c r="O50" s="71">
        <v>2</v>
      </c>
      <c r="P50" s="14">
        <f>Table2[[#This Row],[Sale Cost]]-Table2[[#This Row],[Fare Cost]]</f>
        <v>110.96000000000004</v>
      </c>
      <c r="Q50" s="162">
        <f>MONTH(Table2[[#This Row],[Issued date]])</f>
        <v>3</v>
      </c>
      <c r="R50" s="166"/>
      <c r="S50" s="162"/>
    </row>
    <row r="51" spans="2:19">
      <c r="B51" s="33" t="s">
        <v>24</v>
      </c>
      <c r="C51" s="34" t="s">
        <v>161</v>
      </c>
      <c r="D51" s="35" t="s">
        <v>30</v>
      </c>
      <c r="E51" s="36">
        <v>45736</v>
      </c>
      <c r="F51" s="37">
        <v>45783</v>
      </c>
      <c r="G51" s="38"/>
      <c r="H51" s="73"/>
      <c r="I51" s="9" t="s">
        <v>21</v>
      </c>
      <c r="J51" s="32">
        <v>45736</v>
      </c>
      <c r="K51" s="32" t="s">
        <v>22</v>
      </c>
      <c r="L51" s="72">
        <v>1140.32</v>
      </c>
      <c r="M51" s="72">
        <v>1225</v>
      </c>
      <c r="N51" s="40"/>
      <c r="O51" s="71">
        <v>1</v>
      </c>
      <c r="P51" s="14">
        <f>Table2[[#This Row],[Sale Cost]]-Table2[[#This Row],[Fare Cost]]</f>
        <v>84.680000000000064</v>
      </c>
      <c r="Q51" s="162">
        <f>MONTH(Table2[[#This Row],[Issued date]])</f>
        <v>3</v>
      </c>
      <c r="R51" s="166"/>
      <c r="S51" s="162"/>
    </row>
    <row r="52" spans="2:19">
      <c r="B52" s="33" t="s">
        <v>162</v>
      </c>
      <c r="C52" s="34" t="s">
        <v>163</v>
      </c>
      <c r="D52" s="35" t="s">
        <v>30</v>
      </c>
      <c r="E52" s="36">
        <v>45736</v>
      </c>
      <c r="F52" s="37">
        <v>45783</v>
      </c>
      <c r="G52" s="38"/>
      <c r="H52" s="73"/>
      <c r="I52" s="9" t="s">
        <v>21</v>
      </c>
      <c r="J52" s="32">
        <v>45736</v>
      </c>
      <c r="K52" s="32" t="s">
        <v>22</v>
      </c>
      <c r="L52" s="72">
        <v>2280.64</v>
      </c>
      <c r="M52" s="72">
        <v>2450</v>
      </c>
      <c r="N52" s="40"/>
      <c r="O52" s="71">
        <v>2</v>
      </c>
      <c r="P52" s="14">
        <f>Table2[[#This Row],[Sale Cost]]-Table2[[#This Row],[Fare Cost]]</f>
        <v>169.36000000000013</v>
      </c>
      <c r="Q52" s="162">
        <f>MONTH(Table2[[#This Row],[Issued date]])</f>
        <v>3</v>
      </c>
      <c r="R52" s="166"/>
      <c r="S52" s="162"/>
    </row>
    <row r="53" spans="2:19">
      <c r="B53" s="33" t="s">
        <v>164</v>
      </c>
      <c r="C53" s="34" t="s">
        <v>165</v>
      </c>
      <c r="D53" s="35" t="s">
        <v>20</v>
      </c>
      <c r="E53" s="36">
        <v>45757</v>
      </c>
      <c r="F53" s="37"/>
      <c r="G53" s="38"/>
      <c r="H53" s="73"/>
      <c r="I53" s="9" t="s">
        <v>21</v>
      </c>
      <c r="J53" s="32">
        <v>45740</v>
      </c>
      <c r="K53" s="32" t="s">
        <v>22</v>
      </c>
      <c r="L53" s="72">
        <v>2741</v>
      </c>
      <c r="M53" s="72">
        <v>2995</v>
      </c>
      <c r="N53" s="40" t="s">
        <v>166</v>
      </c>
      <c r="O53" s="71">
        <v>0</v>
      </c>
      <c r="P53" s="14">
        <f>Table2[[#This Row],[Sale Cost]]-Table2[[#This Row],[Fare Cost]]</f>
        <v>254</v>
      </c>
      <c r="Q53" s="162">
        <f>MONTH(Table2[[#This Row],[Issued date]])</f>
        <v>3</v>
      </c>
      <c r="R53" s="166"/>
      <c r="S53" s="162"/>
    </row>
    <row r="54" spans="2:19">
      <c r="B54" s="61" t="s">
        <v>167</v>
      </c>
      <c r="C54" s="34" t="s">
        <v>168</v>
      </c>
      <c r="D54" s="35" t="s">
        <v>26</v>
      </c>
      <c r="E54" s="36">
        <v>45762</v>
      </c>
      <c r="F54" s="37">
        <v>45852</v>
      </c>
      <c r="G54" s="38"/>
      <c r="H54" s="73"/>
      <c r="I54" s="9" t="s">
        <v>21</v>
      </c>
      <c r="J54" s="32">
        <v>45747</v>
      </c>
      <c r="K54" s="32" t="s">
        <v>22</v>
      </c>
      <c r="L54" s="72">
        <v>869.42</v>
      </c>
      <c r="M54" s="72">
        <v>985</v>
      </c>
      <c r="N54" s="40"/>
      <c r="O54" s="71">
        <v>0</v>
      </c>
      <c r="P54" s="14">
        <f>Table2[[#This Row],[Sale Cost]]-Table2[[#This Row],[Fare Cost]]</f>
        <v>115.58000000000004</v>
      </c>
      <c r="Q54" s="162">
        <f>MONTH(Table2[[#This Row],[Issued date]])</f>
        <v>3</v>
      </c>
      <c r="R54" s="166"/>
      <c r="S54" s="162"/>
    </row>
    <row r="55" spans="2:19">
      <c r="B55" s="33" t="s">
        <v>169</v>
      </c>
      <c r="C55" s="34" t="s">
        <v>170</v>
      </c>
      <c r="D55" s="35" t="s">
        <v>26</v>
      </c>
      <c r="E55" s="36">
        <v>45762</v>
      </c>
      <c r="F55" s="37">
        <v>45792</v>
      </c>
      <c r="G55" s="38"/>
      <c r="H55" s="73"/>
      <c r="I55" s="9" t="s">
        <v>21</v>
      </c>
      <c r="J55" s="32">
        <v>45747</v>
      </c>
      <c r="K55" s="32" t="s">
        <v>22</v>
      </c>
      <c r="L55" s="72">
        <v>893.42</v>
      </c>
      <c r="M55" s="72">
        <v>980</v>
      </c>
      <c r="N55" s="40" t="s">
        <v>171</v>
      </c>
      <c r="O55" s="71">
        <v>1</v>
      </c>
      <c r="P55" s="14">
        <f>Table2[[#This Row],[Sale Cost]]-Table2[[#This Row],[Fare Cost]]</f>
        <v>86.580000000000041</v>
      </c>
      <c r="Q55" s="162">
        <f>MONTH(Table2[[#This Row],[Issued date]])</f>
        <v>3</v>
      </c>
      <c r="R55" s="166"/>
      <c r="S55" s="162"/>
    </row>
    <row r="56" spans="2:19" s="86" customFormat="1">
      <c r="B56" s="99" t="s">
        <v>172</v>
      </c>
      <c r="C56" s="100" t="s">
        <v>173</v>
      </c>
      <c r="D56" s="101" t="s">
        <v>174</v>
      </c>
      <c r="E56" s="102">
        <v>45757</v>
      </c>
      <c r="F56" s="103"/>
      <c r="G56" s="104"/>
      <c r="H56" s="105"/>
      <c r="I56" s="93" t="s">
        <v>21</v>
      </c>
      <c r="J56" s="106">
        <v>45748</v>
      </c>
      <c r="K56" s="106" t="s">
        <v>22</v>
      </c>
      <c r="L56" s="107">
        <v>450.8</v>
      </c>
      <c r="M56" s="107">
        <v>510</v>
      </c>
      <c r="N56" s="108" t="s">
        <v>175</v>
      </c>
      <c r="O56" s="109">
        <v>1</v>
      </c>
      <c r="P56" s="110">
        <f>Table2[[#This Row],[Sale Cost]]-Table2[[#This Row],[Fare Cost]]</f>
        <v>59.199999999999989</v>
      </c>
      <c r="Q56" s="163">
        <f>MONTH(Table2[[#This Row],[Issued date]])</f>
        <v>4</v>
      </c>
      <c r="R56" s="167"/>
      <c r="S56" s="163"/>
    </row>
    <row r="57" spans="2:19">
      <c r="B57" s="33" t="s">
        <v>176</v>
      </c>
      <c r="C57" s="34" t="s">
        <v>177</v>
      </c>
      <c r="D57" s="35" t="s">
        <v>33</v>
      </c>
      <c r="E57" s="36">
        <v>45770</v>
      </c>
      <c r="F57" s="37">
        <v>45813</v>
      </c>
      <c r="G57" s="38"/>
      <c r="H57" s="75"/>
      <c r="I57" s="98" t="s">
        <v>21</v>
      </c>
      <c r="J57" s="32">
        <v>45750</v>
      </c>
      <c r="K57" s="32" t="s">
        <v>22</v>
      </c>
      <c r="L57" s="72">
        <v>382.82</v>
      </c>
      <c r="M57" s="72">
        <v>382.82</v>
      </c>
      <c r="N57" s="40"/>
      <c r="O57" s="71">
        <v>0</v>
      </c>
      <c r="P57" s="14">
        <f>Table2[[#This Row],[Sale Cost]]-Table2[[#This Row],[Fare Cost]]</f>
        <v>0</v>
      </c>
      <c r="Q57" s="162">
        <f>MONTH(Table2[[#This Row],[Issued date]])</f>
        <v>4</v>
      </c>
      <c r="R57" s="166"/>
      <c r="S57" s="162"/>
    </row>
    <row r="58" spans="2:19">
      <c r="B58" s="61" t="s">
        <v>178</v>
      </c>
      <c r="C58" s="34" t="s">
        <v>179</v>
      </c>
      <c r="D58" s="35" t="s">
        <v>26</v>
      </c>
      <c r="E58" s="36">
        <v>45755</v>
      </c>
      <c r="F58" s="37">
        <v>45797</v>
      </c>
      <c r="G58" s="38"/>
      <c r="H58" s="73"/>
      <c r="I58" s="9" t="s">
        <v>21</v>
      </c>
      <c r="J58" s="32">
        <v>45751</v>
      </c>
      <c r="K58" s="32" t="s">
        <v>22</v>
      </c>
      <c r="L58" s="111">
        <v>1160.22</v>
      </c>
      <c r="M58" s="72">
        <v>1225</v>
      </c>
      <c r="N58" s="40" t="s">
        <v>180</v>
      </c>
      <c r="O58" s="71">
        <v>1</v>
      </c>
      <c r="P58" s="14">
        <f>Table2[[#This Row],[Sale Cost]]-Table2[[#This Row],[Fare Cost]]</f>
        <v>64.779999999999973</v>
      </c>
      <c r="Q58" s="162">
        <f>MONTH(Table2[[#This Row],[Issued date]])</f>
        <v>4</v>
      </c>
      <c r="R58" s="166"/>
      <c r="S58" s="162"/>
    </row>
    <row r="59" spans="2:19" s="50" customFormat="1">
      <c r="B59" s="33" t="s">
        <v>181</v>
      </c>
      <c r="C59" s="34" t="s">
        <v>182</v>
      </c>
      <c r="D59" s="35" t="s">
        <v>20</v>
      </c>
      <c r="E59" s="36">
        <v>45761</v>
      </c>
      <c r="F59" s="37">
        <v>45813</v>
      </c>
      <c r="G59" s="38"/>
      <c r="H59" s="73"/>
      <c r="I59" s="9" t="s">
        <v>21</v>
      </c>
      <c r="J59" s="32">
        <v>45751</v>
      </c>
      <c r="K59" s="32" t="s">
        <v>22</v>
      </c>
      <c r="L59" s="72">
        <v>869.08</v>
      </c>
      <c r="M59" s="72">
        <v>940</v>
      </c>
      <c r="N59" s="40" t="s">
        <v>183</v>
      </c>
      <c r="O59" s="71">
        <v>1</v>
      </c>
      <c r="P59" s="14">
        <f>Table2[[#This Row],[Sale Cost]]-Table2[[#This Row],[Fare Cost]]</f>
        <v>70.919999999999959</v>
      </c>
      <c r="Q59" s="162">
        <f>MONTH(Table2[[#This Row],[Issued date]])</f>
        <v>4</v>
      </c>
      <c r="R59" s="166"/>
      <c r="S59" s="162"/>
    </row>
    <row r="60" spans="2:19">
      <c r="B60" s="142" t="s">
        <v>178</v>
      </c>
      <c r="C60" s="3" t="s">
        <v>179</v>
      </c>
      <c r="D60" s="117" t="s">
        <v>26</v>
      </c>
      <c r="E60" s="118">
        <v>45752</v>
      </c>
      <c r="F60" s="1">
        <v>45797</v>
      </c>
      <c r="G60" s="12"/>
      <c r="H60" s="119"/>
      <c r="I60" s="9" t="s">
        <v>21</v>
      </c>
      <c r="J60" s="7">
        <v>45751</v>
      </c>
      <c r="K60" s="123" t="s">
        <v>47</v>
      </c>
      <c r="L60" s="120">
        <v>1325</v>
      </c>
      <c r="M60" s="120">
        <v>1675</v>
      </c>
      <c r="N60" s="121"/>
      <c r="O60" s="9">
        <v>1</v>
      </c>
      <c r="P60" s="122">
        <f>Table2[[#This Row],[Sale Cost]]-Table2[[#This Row],[Fare Cost]]</f>
        <v>350</v>
      </c>
      <c r="Q60">
        <f>MONTH(Table2[[#This Row],[Issued date]])</f>
        <v>4</v>
      </c>
      <c r="R60" s="3"/>
    </row>
    <row r="61" spans="2:19">
      <c r="B61" s="33" t="s">
        <v>184</v>
      </c>
      <c r="C61" s="34" t="s">
        <v>185</v>
      </c>
      <c r="D61" s="35" t="s">
        <v>20</v>
      </c>
      <c r="E61" s="36">
        <v>45762</v>
      </c>
      <c r="F61" s="37">
        <v>45814</v>
      </c>
      <c r="G61" s="38"/>
      <c r="H61" s="73"/>
      <c r="I61" s="9" t="s">
        <v>21</v>
      </c>
      <c r="J61" s="32">
        <v>45751</v>
      </c>
      <c r="K61" s="32" t="s">
        <v>22</v>
      </c>
      <c r="L61" s="72">
        <v>869.08</v>
      </c>
      <c r="M61" s="72">
        <v>940</v>
      </c>
      <c r="N61" s="40" t="s">
        <v>183</v>
      </c>
      <c r="O61" s="71">
        <v>1</v>
      </c>
      <c r="P61" s="14">
        <f>Table2[[#This Row],[Sale Cost]]-Table2[[#This Row],[Fare Cost]]</f>
        <v>70.919999999999959</v>
      </c>
      <c r="Q61" s="162">
        <f>MONTH(Table2[[#This Row],[Issued date]])</f>
        <v>4</v>
      </c>
      <c r="R61" s="166"/>
      <c r="S61" s="162"/>
    </row>
    <row r="62" spans="2:19">
      <c r="B62" s="33" t="s">
        <v>186</v>
      </c>
      <c r="C62" s="34" t="s">
        <v>187</v>
      </c>
      <c r="D62" s="35" t="s">
        <v>26</v>
      </c>
      <c r="E62" s="36">
        <v>45753</v>
      </c>
      <c r="F62" s="37"/>
      <c r="G62" s="38"/>
      <c r="H62" s="73"/>
      <c r="I62" s="9" t="s">
        <v>21</v>
      </c>
      <c r="J62" s="32">
        <v>45752</v>
      </c>
      <c r="K62" s="32" t="s">
        <v>22</v>
      </c>
      <c r="L62" s="72">
        <v>501.7</v>
      </c>
      <c r="M62" s="72">
        <v>595</v>
      </c>
      <c r="N62" s="40"/>
      <c r="O62" s="71">
        <v>1</v>
      </c>
      <c r="P62" s="14">
        <f>Table2[[#This Row],[Sale Cost]]-Table2[[#This Row],[Fare Cost]]</f>
        <v>93.300000000000011</v>
      </c>
      <c r="Q62" s="162">
        <f>MONTH(Table2[[#This Row],[Issued date]])</f>
        <v>4</v>
      </c>
      <c r="R62" s="166"/>
      <c r="S62" s="162"/>
    </row>
    <row r="63" spans="2:19">
      <c r="B63" s="33" t="s">
        <v>188</v>
      </c>
      <c r="C63" s="34" t="s">
        <v>189</v>
      </c>
      <c r="D63" s="35" t="s">
        <v>26</v>
      </c>
      <c r="E63" s="36">
        <v>45769</v>
      </c>
      <c r="F63" s="37">
        <v>45797</v>
      </c>
      <c r="G63" s="38"/>
      <c r="H63" s="73"/>
      <c r="I63" s="9" t="s">
        <v>21</v>
      </c>
      <c r="J63" s="32">
        <v>45753</v>
      </c>
      <c r="K63" s="32" t="s">
        <v>22</v>
      </c>
      <c r="L63" s="72">
        <v>730.32</v>
      </c>
      <c r="M63" s="72">
        <v>825</v>
      </c>
      <c r="N63" s="40"/>
      <c r="O63" s="71">
        <v>0</v>
      </c>
      <c r="P63" s="14">
        <f>Table2[[#This Row],[Sale Cost]]-Table2[[#This Row],[Fare Cost]]</f>
        <v>94.67999999999995</v>
      </c>
      <c r="Q63" s="162">
        <f>MONTH(Table2[[#This Row],[Issued date]])</f>
        <v>4</v>
      </c>
      <c r="R63" s="166"/>
      <c r="S63" s="162"/>
    </row>
    <row r="64" spans="2:19">
      <c r="B64" s="33" t="s">
        <v>190</v>
      </c>
      <c r="C64" s="34" t="s">
        <v>191</v>
      </c>
      <c r="D64" s="35" t="s">
        <v>20</v>
      </c>
      <c r="E64" s="36">
        <v>45805</v>
      </c>
      <c r="F64" s="37">
        <v>45839</v>
      </c>
      <c r="G64" s="38"/>
      <c r="H64" s="73"/>
      <c r="I64" s="9" t="s">
        <v>21</v>
      </c>
      <c r="J64" s="32">
        <v>45755</v>
      </c>
      <c r="K64" s="32" t="s">
        <v>22</v>
      </c>
      <c r="L64" s="72">
        <v>754.48</v>
      </c>
      <c r="M64" s="72">
        <v>795</v>
      </c>
      <c r="N64" s="40"/>
      <c r="O64" s="71">
        <v>0</v>
      </c>
      <c r="P64" s="14">
        <f>Table2[[#This Row],[Sale Cost]]-Table2[[#This Row],[Fare Cost]]</f>
        <v>40.519999999999982</v>
      </c>
      <c r="Q64" s="162">
        <f>MONTH(Table2[[#This Row],[Issued date]])</f>
        <v>4</v>
      </c>
      <c r="R64" s="166"/>
      <c r="S64" s="162"/>
    </row>
    <row r="65" spans="2:19">
      <c r="B65" s="33" t="s">
        <v>192</v>
      </c>
      <c r="C65" s="34" t="s">
        <v>193</v>
      </c>
      <c r="D65" s="35" t="s">
        <v>26</v>
      </c>
      <c r="E65" s="36">
        <v>45764</v>
      </c>
      <c r="F65" s="37">
        <v>45801</v>
      </c>
      <c r="G65" s="38"/>
      <c r="H65" s="73"/>
      <c r="I65" s="9" t="s">
        <v>21</v>
      </c>
      <c r="J65" s="32">
        <v>45756</v>
      </c>
      <c r="K65" s="32" t="s">
        <v>22</v>
      </c>
      <c r="L65" s="72">
        <v>587.82000000000005</v>
      </c>
      <c r="M65" s="72">
        <v>760</v>
      </c>
      <c r="N65" s="40" t="s">
        <v>194</v>
      </c>
      <c r="O65" s="71">
        <v>1</v>
      </c>
      <c r="P65" s="14">
        <f>Table2[[#This Row],[Sale Cost]]-Table2[[#This Row],[Fare Cost]]</f>
        <v>172.17999999999995</v>
      </c>
      <c r="Q65" s="162">
        <f>MONTH(Table2[[#This Row],[Issued date]])</f>
        <v>4</v>
      </c>
      <c r="R65" s="166"/>
      <c r="S65" s="162"/>
    </row>
    <row r="66" spans="2:19">
      <c r="B66" s="33" t="s">
        <v>195</v>
      </c>
      <c r="C66" s="34" t="s">
        <v>196</v>
      </c>
      <c r="D66" s="35" t="s">
        <v>33</v>
      </c>
      <c r="E66" s="36">
        <v>45777</v>
      </c>
      <c r="F66" s="37">
        <v>45815</v>
      </c>
      <c r="G66" s="38"/>
      <c r="H66" s="73"/>
      <c r="I66" s="9" t="s">
        <v>21</v>
      </c>
      <c r="J66" s="32">
        <v>45757</v>
      </c>
      <c r="K66" s="32" t="s">
        <v>22</v>
      </c>
      <c r="L66" s="72">
        <v>1427.46</v>
      </c>
      <c r="M66" s="72">
        <v>1635</v>
      </c>
      <c r="N66" s="40" t="s">
        <v>197</v>
      </c>
      <c r="O66" s="71">
        <v>0</v>
      </c>
      <c r="P66" s="14">
        <f>Table2[[#This Row],[Sale Cost]]-Table2[[#This Row],[Fare Cost]]</f>
        <v>207.53999999999996</v>
      </c>
      <c r="Q66" s="162">
        <f>MONTH(Table2[[#This Row],[Issued date]])</f>
        <v>4</v>
      </c>
      <c r="R66" s="166"/>
      <c r="S66" s="162"/>
    </row>
    <row r="67" spans="2:19">
      <c r="B67" s="33" t="s">
        <v>198</v>
      </c>
      <c r="C67" s="34" t="s">
        <v>199</v>
      </c>
      <c r="D67" s="35" t="s">
        <v>26</v>
      </c>
      <c r="E67" s="36">
        <v>45867</v>
      </c>
      <c r="F67" s="37">
        <v>45905</v>
      </c>
      <c r="G67" s="38"/>
      <c r="H67" s="75"/>
      <c r="I67" s="9" t="s">
        <v>21</v>
      </c>
      <c r="J67" s="32">
        <v>45757</v>
      </c>
      <c r="K67" s="32" t="s">
        <v>22</v>
      </c>
      <c r="L67" s="72">
        <v>4098.08</v>
      </c>
      <c r="M67" s="72">
        <v>4180</v>
      </c>
      <c r="N67" s="40" t="s">
        <v>200</v>
      </c>
      <c r="O67" s="71">
        <v>0</v>
      </c>
      <c r="P67" s="14">
        <f>Table2[[#This Row],[Sale Cost]]-Table2[[#This Row],[Fare Cost]]</f>
        <v>81.920000000000073</v>
      </c>
      <c r="Q67" s="162">
        <f>MONTH(Table2[[#This Row],[Issued date]])</f>
        <v>4</v>
      </c>
      <c r="R67" s="166"/>
      <c r="S67" s="162"/>
    </row>
    <row r="68" spans="2:19">
      <c r="B68" s="33" t="s">
        <v>201</v>
      </c>
      <c r="C68" s="34" t="s">
        <v>202</v>
      </c>
      <c r="D68" s="35" t="s">
        <v>203</v>
      </c>
      <c r="E68" s="36">
        <v>45795</v>
      </c>
      <c r="F68" s="37">
        <v>45828</v>
      </c>
      <c r="G68" s="38"/>
      <c r="H68" s="73"/>
      <c r="I68" s="9" t="s">
        <v>21</v>
      </c>
      <c r="J68" s="32">
        <v>45758</v>
      </c>
      <c r="K68" s="32" t="s">
        <v>22</v>
      </c>
      <c r="L68" s="72">
        <v>1173.5</v>
      </c>
      <c r="M68" s="72">
        <v>1285</v>
      </c>
      <c r="N68" s="40"/>
      <c r="O68" s="71">
        <v>0</v>
      </c>
      <c r="P68" s="14">
        <f>Table2[[#This Row],[Sale Cost]]-Table2[[#This Row],[Fare Cost]]</f>
        <v>111.5</v>
      </c>
      <c r="Q68" s="162">
        <f>MONTH(Table2[[#This Row],[Issued date]])</f>
        <v>4</v>
      </c>
      <c r="R68" s="166"/>
      <c r="S68" s="162"/>
    </row>
    <row r="69" spans="2:19">
      <c r="B69" s="33" t="s">
        <v>204</v>
      </c>
      <c r="C69" s="34" t="s">
        <v>205</v>
      </c>
      <c r="D69" s="35" t="s">
        <v>46</v>
      </c>
      <c r="E69" s="36">
        <v>45760</v>
      </c>
      <c r="F69" s="37">
        <v>45789</v>
      </c>
      <c r="G69" s="38"/>
      <c r="H69" s="73"/>
      <c r="I69" s="9" t="s">
        <v>21</v>
      </c>
      <c r="J69" s="32">
        <v>45758</v>
      </c>
      <c r="K69" s="32" t="s">
        <v>22</v>
      </c>
      <c r="L69" s="72">
        <v>908.62</v>
      </c>
      <c r="M69" s="72">
        <v>995</v>
      </c>
      <c r="N69" s="40" t="s">
        <v>206</v>
      </c>
      <c r="O69" s="71">
        <v>1</v>
      </c>
      <c r="P69" s="14">
        <f>Table2[[#This Row],[Sale Cost]]-Table2[[#This Row],[Fare Cost]]</f>
        <v>86.38</v>
      </c>
      <c r="Q69" s="162">
        <f>MONTH(Table2[[#This Row],[Issued date]])</f>
        <v>4</v>
      </c>
      <c r="R69" s="166"/>
      <c r="S69" s="162"/>
    </row>
    <row r="70" spans="2:19">
      <c r="B70" s="33" t="s">
        <v>207</v>
      </c>
      <c r="C70" s="34" t="s">
        <v>208</v>
      </c>
      <c r="D70" s="35" t="s">
        <v>26</v>
      </c>
      <c r="E70" s="36">
        <v>45853</v>
      </c>
      <c r="F70" s="37">
        <v>45880</v>
      </c>
      <c r="G70" s="38"/>
      <c r="H70" s="73"/>
      <c r="I70" s="9" t="s">
        <v>21</v>
      </c>
      <c r="J70" s="32">
        <v>45761</v>
      </c>
      <c r="K70" s="32" t="s">
        <v>22</v>
      </c>
      <c r="L70" s="72">
        <v>3889.68</v>
      </c>
      <c r="M70" s="72">
        <v>4180</v>
      </c>
      <c r="N70" s="40" t="s">
        <v>209</v>
      </c>
      <c r="O70" s="71">
        <v>4</v>
      </c>
      <c r="P70" s="14">
        <f>Table2[[#This Row],[Sale Cost]]-Table2[[#This Row],[Fare Cost]]</f>
        <v>290.32000000000016</v>
      </c>
      <c r="Q70" s="162">
        <f>MONTH(Table2[[#This Row],[Issued date]])</f>
        <v>4</v>
      </c>
      <c r="R70" s="166"/>
      <c r="S70" s="162"/>
    </row>
    <row r="71" spans="2:19" s="50" customFormat="1">
      <c r="B71" s="33" t="s">
        <v>124</v>
      </c>
      <c r="C71" s="34" t="s">
        <v>210</v>
      </c>
      <c r="D71" s="35" t="s">
        <v>63</v>
      </c>
      <c r="E71" s="36">
        <v>45777</v>
      </c>
      <c r="F71" s="37"/>
      <c r="G71" s="38"/>
      <c r="H71" s="73"/>
      <c r="I71" s="9" t="s">
        <v>21</v>
      </c>
      <c r="J71" s="32">
        <v>45764</v>
      </c>
      <c r="K71" s="32" t="s">
        <v>22</v>
      </c>
      <c r="L71" s="72">
        <v>1604.2</v>
      </c>
      <c r="M71" s="72">
        <v>1770</v>
      </c>
      <c r="N71" s="40" t="s">
        <v>127</v>
      </c>
      <c r="O71" s="71">
        <v>2</v>
      </c>
      <c r="P71" s="14">
        <f>Table2[[#This Row],[Sale Cost]]-Table2[[#This Row],[Fare Cost]]</f>
        <v>165.79999999999995</v>
      </c>
      <c r="Q71" s="162">
        <f>MONTH(Table2[[#This Row],[Issued date]])</f>
        <v>4</v>
      </c>
      <c r="R71" s="166"/>
      <c r="S71" s="162"/>
    </row>
    <row r="72" spans="2:19">
      <c r="B72" s="33" t="s">
        <v>211</v>
      </c>
      <c r="C72" s="34" t="s">
        <v>212</v>
      </c>
      <c r="D72" s="35" t="s">
        <v>85</v>
      </c>
      <c r="E72" s="36">
        <v>45769</v>
      </c>
      <c r="F72" s="37"/>
      <c r="G72" s="38"/>
      <c r="H72" s="73"/>
      <c r="I72" s="9" t="s">
        <v>21</v>
      </c>
      <c r="J72" s="32">
        <v>45765</v>
      </c>
      <c r="K72" s="32" t="s">
        <v>22</v>
      </c>
      <c r="L72" s="72">
        <v>807.9</v>
      </c>
      <c r="M72" s="72">
        <v>807.9</v>
      </c>
      <c r="N72" s="40"/>
      <c r="O72" s="71">
        <v>0</v>
      </c>
      <c r="P72" s="14">
        <f>Table2[[#This Row],[Sale Cost]]-Table2[[#This Row],[Fare Cost]]</f>
        <v>0</v>
      </c>
      <c r="Q72" s="162">
        <f>MONTH(Table2[[#This Row],[Issued date]])</f>
        <v>4</v>
      </c>
      <c r="R72" s="166"/>
      <c r="S72" s="162"/>
    </row>
    <row r="73" spans="2:19">
      <c r="B73" s="142" t="s">
        <v>167</v>
      </c>
      <c r="C73" s="3" t="s">
        <v>168</v>
      </c>
      <c r="D73" s="117" t="s">
        <v>26</v>
      </c>
      <c r="E73" s="118"/>
      <c r="F73" s="1"/>
      <c r="G73" s="12"/>
      <c r="H73" s="119"/>
      <c r="I73" s="9" t="s">
        <v>21</v>
      </c>
      <c r="J73" s="7">
        <v>45766</v>
      </c>
      <c r="K73" s="123" t="s">
        <v>47</v>
      </c>
      <c r="L73" s="120">
        <v>28</v>
      </c>
      <c r="M73" s="120">
        <v>75</v>
      </c>
      <c r="N73" s="121"/>
      <c r="O73" s="9">
        <v>1</v>
      </c>
      <c r="P73" s="122">
        <f>Table2[[#This Row],[Sale Cost]]-Table2[[#This Row],[Fare Cost]]</f>
        <v>47</v>
      </c>
      <c r="Q73">
        <f>MONTH(Table2[[#This Row],[Issued date]])</f>
        <v>4</v>
      </c>
      <c r="R73" s="3"/>
    </row>
    <row r="74" spans="2:19">
      <c r="B74" s="33" t="s">
        <v>213</v>
      </c>
      <c r="C74" s="34" t="s">
        <v>214</v>
      </c>
      <c r="D74" s="35" t="s">
        <v>215</v>
      </c>
      <c r="E74" s="36">
        <v>45779</v>
      </c>
      <c r="F74" s="37"/>
      <c r="G74" s="38"/>
      <c r="H74" s="73"/>
      <c r="I74" s="9" t="s">
        <v>21</v>
      </c>
      <c r="J74" s="32">
        <v>45771</v>
      </c>
      <c r="K74" s="32" t="s">
        <v>22</v>
      </c>
      <c r="L74" s="111">
        <v>567.77</v>
      </c>
      <c r="M74" s="72">
        <v>567.77</v>
      </c>
      <c r="N74" s="40"/>
      <c r="O74" s="71">
        <v>0</v>
      </c>
      <c r="P74" s="14">
        <f>Table2[[#This Row],[Sale Cost]]-Table2[[#This Row],[Fare Cost]]</f>
        <v>0</v>
      </c>
      <c r="Q74" s="162">
        <f>MONTH(Table2[[#This Row],[Issued date]])</f>
        <v>4</v>
      </c>
      <c r="R74" s="166"/>
      <c r="S74" s="162"/>
    </row>
    <row r="75" spans="2:19">
      <c r="B75" s="33" t="s">
        <v>211</v>
      </c>
      <c r="C75" s="34" t="s">
        <v>216</v>
      </c>
      <c r="D75" s="35" t="s">
        <v>89</v>
      </c>
      <c r="E75" s="36">
        <v>45769</v>
      </c>
      <c r="F75" s="37"/>
      <c r="G75" s="38"/>
      <c r="H75" s="73"/>
      <c r="I75" s="9" t="s">
        <v>21</v>
      </c>
      <c r="J75" s="32">
        <v>45768</v>
      </c>
      <c r="K75" s="32" t="s">
        <v>22</v>
      </c>
      <c r="L75" s="72">
        <v>852.4</v>
      </c>
      <c r="M75" s="72">
        <v>852.4</v>
      </c>
      <c r="N75" s="40"/>
      <c r="O75" s="71">
        <v>0</v>
      </c>
      <c r="P75" s="14">
        <f>Table2[[#This Row],[Sale Cost]]-Table2[[#This Row],[Fare Cost]]</f>
        <v>0</v>
      </c>
      <c r="Q75" s="162">
        <f>MONTH(Table2[[#This Row],[Issued date]])</f>
        <v>4</v>
      </c>
      <c r="R75" s="166"/>
      <c r="S75" s="162"/>
    </row>
    <row r="76" spans="2:19">
      <c r="B76" s="33" t="s">
        <v>217</v>
      </c>
      <c r="C76" s="34" t="s">
        <v>218</v>
      </c>
      <c r="D76" s="35" t="s">
        <v>20</v>
      </c>
      <c r="E76" s="36">
        <v>45805</v>
      </c>
      <c r="F76" s="37">
        <v>45846</v>
      </c>
      <c r="G76" s="38"/>
      <c r="H76" s="73"/>
      <c r="I76" s="9" t="s">
        <v>21</v>
      </c>
      <c r="J76" s="32">
        <v>45769</v>
      </c>
      <c r="K76" s="32" t="s">
        <v>22</v>
      </c>
      <c r="L76" s="72">
        <v>716.78</v>
      </c>
      <c r="M76" s="72">
        <v>775</v>
      </c>
      <c r="N76" s="112" t="s">
        <v>219</v>
      </c>
      <c r="O76" s="71">
        <v>1</v>
      </c>
      <c r="P76" s="14">
        <f>Table2[[#This Row],[Sale Cost]]-Table2[[#This Row],[Fare Cost]]</f>
        <v>58.220000000000027</v>
      </c>
      <c r="Q76" s="162">
        <f>MONTH(Table2[[#This Row],[Issued date]])</f>
        <v>4</v>
      </c>
      <c r="R76" s="166"/>
      <c r="S76" s="162"/>
    </row>
    <row r="77" spans="2:19">
      <c r="B77" s="33" t="s">
        <v>220</v>
      </c>
      <c r="C77" s="34" t="s">
        <v>221</v>
      </c>
      <c r="D77" s="35" t="s">
        <v>46</v>
      </c>
      <c r="E77" s="36">
        <v>45935</v>
      </c>
      <c r="F77" s="37">
        <v>45966</v>
      </c>
      <c r="G77" s="38"/>
      <c r="H77" s="73"/>
      <c r="I77" s="9" t="s">
        <v>119</v>
      </c>
      <c r="J77" s="32">
        <v>45771</v>
      </c>
      <c r="K77" s="32" t="s">
        <v>22</v>
      </c>
      <c r="L77" s="72">
        <v>2359.1</v>
      </c>
      <c r="M77" s="72">
        <v>2725</v>
      </c>
      <c r="N77" s="40" t="s">
        <v>222</v>
      </c>
      <c r="O77" s="71">
        <v>0</v>
      </c>
      <c r="P77" s="14">
        <f>Table2[[#This Row],[Sale Cost]]-Table2[[#This Row],[Fare Cost]]</f>
        <v>365.90000000000009</v>
      </c>
      <c r="Q77" s="162">
        <f>MONTH(Table2[[#This Row],[Issued date]])</f>
        <v>4</v>
      </c>
      <c r="R77" s="166"/>
      <c r="S77" s="162"/>
    </row>
    <row r="78" spans="2:19">
      <c r="B78" s="33" t="s">
        <v>48</v>
      </c>
      <c r="C78" s="34" t="s">
        <v>223</v>
      </c>
      <c r="D78" s="35" t="s">
        <v>20</v>
      </c>
      <c r="E78" s="36">
        <v>45805</v>
      </c>
      <c r="F78" s="37">
        <v>45839</v>
      </c>
      <c r="G78" s="38"/>
      <c r="H78" s="73"/>
      <c r="I78" s="9" t="s">
        <v>21</v>
      </c>
      <c r="J78" s="32">
        <v>45772</v>
      </c>
      <c r="K78" s="32" t="s">
        <v>22</v>
      </c>
      <c r="L78" s="72">
        <v>788.78</v>
      </c>
      <c r="M78" s="72">
        <v>875</v>
      </c>
      <c r="N78" s="40" t="s">
        <v>224</v>
      </c>
      <c r="O78" s="71">
        <v>1</v>
      </c>
      <c r="P78" s="14">
        <f>Table2[[#This Row],[Sale Cost]]-Table2[[#This Row],[Fare Cost]]</f>
        <v>86.220000000000027</v>
      </c>
      <c r="Q78" s="162">
        <f>MONTH(Table2[[#This Row],[Issued date]])</f>
        <v>4</v>
      </c>
      <c r="R78" s="166"/>
      <c r="S78" s="162"/>
    </row>
    <row r="79" spans="2:19">
      <c r="B79" s="33" t="s">
        <v>225</v>
      </c>
      <c r="C79" s="34" t="s">
        <v>226</v>
      </c>
      <c r="D79" s="35" t="s">
        <v>89</v>
      </c>
      <c r="E79" s="36">
        <v>45781</v>
      </c>
      <c r="F79" s="37"/>
      <c r="G79" s="38"/>
      <c r="H79" s="75"/>
      <c r="I79" s="9" t="s">
        <v>21</v>
      </c>
      <c r="J79" s="32">
        <v>45772</v>
      </c>
      <c r="K79" s="32" t="s">
        <v>22</v>
      </c>
      <c r="L79" s="72">
        <v>343.72</v>
      </c>
      <c r="M79" s="72">
        <v>405</v>
      </c>
      <c r="N79" s="40" t="s">
        <v>227</v>
      </c>
      <c r="O79" s="71">
        <v>1</v>
      </c>
      <c r="P79" s="14">
        <f>Table2[[#This Row],[Sale Cost]]-Table2[[#This Row],[Fare Cost]]</f>
        <v>61.279999999999973</v>
      </c>
      <c r="Q79" s="162">
        <f>MONTH(Table2[[#This Row],[Issued date]])</f>
        <v>4</v>
      </c>
      <c r="R79" s="166"/>
      <c r="S79" s="162"/>
    </row>
    <row r="80" spans="2:19">
      <c r="B80" s="33" t="s">
        <v>228</v>
      </c>
      <c r="C80" s="34" t="s">
        <v>229</v>
      </c>
      <c r="D80" s="35" t="s">
        <v>26</v>
      </c>
      <c r="E80" s="36">
        <v>45782</v>
      </c>
      <c r="F80" s="37">
        <v>45804</v>
      </c>
      <c r="G80" s="38"/>
      <c r="H80" s="75"/>
      <c r="I80" s="9" t="s">
        <v>21</v>
      </c>
      <c r="J80" s="32">
        <v>45773</v>
      </c>
      <c r="K80" s="32" t="s">
        <v>22</v>
      </c>
      <c r="L80" s="72">
        <v>690.52</v>
      </c>
      <c r="M80" s="72">
        <v>790</v>
      </c>
      <c r="N80" s="40" t="s">
        <v>230</v>
      </c>
      <c r="O80" s="71">
        <v>0</v>
      </c>
      <c r="P80" s="14">
        <f>Table2[[#This Row],[Sale Cost]]-Table2[[#This Row],[Fare Cost]]</f>
        <v>99.480000000000018</v>
      </c>
      <c r="Q80" s="162">
        <f>MONTH(Table2[[#This Row],[Issued date]])</f>
        <v>4</v>
      </c>
      <c r="R80" s="166"/>
      <c r="S80" s="162"/>
    </row>
    <row r="81" spans="2:19">
      <c r="B81" s="33" t="s">
        <v>231</v>
      </c>
      <c r="C81" s="34" t="s">
        <v>232</v>
      </c>
      <c r="D81" s="35" t="s">
        <v>233</v>
      </c>
      <c r="E81" s="36">
        <v>45783</v>
      </c>
      <c r="F81" s="37">
        <v>45862</v>
      </c>
      <c r="G81" s="38"/>
      <c r="H81" s="75"/>
      <c r="I81" t="s">
        <v>234</v>
      </c>
      <c r="J81" s="32">
        <v>45775</v>
      </c>
      <c r="K81" s="32" t="s">
        <v>22</v>
      </c>
      <c r="L81" s="72">
        <v>253.2</v>
      </c>
      <c r="M81" s="72">
        <v>315</v>
      </c>
      <c r="N81" s="40" t="s">
        <v>235</v>
      </c>
      <c r="O81" s="71">
        <v>1</v>
      </c>
      <c r="P81" s="14">
        <f>Table2[[#This Row],[Sale Cost]]-Table2[[#This Row],[Fare Cost]]</f>
        <v>61.800000000000011</v>
      </c>
      <c r="Q81" s="162">
        <f>MONTH(Table2[[#This Row],[Issued date]])</f>
        <v>4</v>
      </c>
      <c r="R81" s="166"/>
      <c r="S81" s="162"/>
    </row>
    <row r="82" spans="2:19">
      <c r="B82" s="33" t="s">
        <v>236</v>
      </c>
      <c r="C82" s="34" t="s">
        <v>237</v>
      </c>
      <c r="D82" s="35" t="s">
        <v>33</v>
      </c>
      <c r="E82" s="36">
        <v>45785</v>
      </c>
      <c r="F82" s="37">
        <v>45817</v>
      </c>
      <c r="G82" s="38"/>
      <c r="H82" s="75"/>
      <c r="I82" s="9" t="s">
        <v>21</v>
      </c>
      <c r="J82" s="32">
        <v>45776</v>
      </c>
      <c r="K82" s="32" t="s">
        <v>22</v>
      </c>
      <c r="L82" s="72">
        <v>537.32000000000005</v>
      </c>
      <c r="M82" s="72">
        <v>625</v>
      </c>
      <c r="N82" s="40" t="s">
        <v>238</v>
      </c>
      <c r="O82" s="71">
        <v>1</v>
      </c>
      <c r="P82" s="14">
        <f>Table2[[#This Row],[Sale Cost]]-Table2[[#This Row],[Fare Cost]]</f>
        <v>87.67999999999995</v>
      </c>
      <c r="Q82" s="162">
        <f>MONTH(Table2[[#This Row],[Issued date]])</f>
        <v>4</v>
      </c>
      <c r="R82" s="166"/>
      <c r="S82" s="162"/>
    </row>
    <row r="83" spans="2:19">
      <c r="B83" s="33" t="s">
        <v>134</v>
      </c>
      <c r="C83" s="34" t="s">
        <v>239</v>
      </c>
      <c r="D83" s="35" t="s">
        <v>33</v>
      </c>
      <c r="E83" s="36">
        <v>45860</v>
      </c>
      <c r="F83" s="37">
        <v>45904</v>
      </c>
      <c r="G83" s="38"/>
      <c r="H83" s="75"/>
      <c r="I83" s="9" t="s">
        <v>21</v>
      </c>
      <c r="J83" s="32">
        <v>45777</v>
      </c>
      <c r="K83" s="32" t="s">
        <v>22</v>
      </c>
      <c r="L83" s="72">
        <v>3605.46</v>
      </c>
      <c r="M83" s="72">
        <v>3975</v>
      </c>
      <c r="N83" s="40" t="s">
        <v>240</v>
      </c>
      <c r="O83" s="71">
        <v>3</v>
      </c>
      <c r="P83" s="14">
        <f>Table2[[#This Row],[Sale Cost]]-Table2[[#This Row],[Fare Cost]]</f>
        <v>369.53999999999996</v>
      </c>
      <c r="Q83" s="162">
        <f>MONTH(Table2[[#This Row],[Issued date]])</f>
        <v>4</v>
      </c>
      <c r="R83" s="166"/>
      <c r="S83" s="162"/>
    </row>
    <row r="84" spans="2:19" s="86" customFormat="1">
      <c r="B84" s="99" t="s">
        <v>241</v>
      </c>
      <c r="C84" s="100" t="s">
        <v>242</v>
      </c>
      <c r="D84" s="101" t="s">
        <v>26</v>
      </c>
      <c r="E84" s="102">
        <v>45891</v>
      </c>
      <c r="F84" s="103">
        <v>45902</v>
      </c>
      <c r="G84" s="104"/>
      <c r="H84" s="124"/>
      <c r="I84" s="93" t="s">
        <v>21</v>
      </c>
      <c r="J84" s="106">
        <v>45778</v>
      </c>
      <c r="K84" s="106" t="s">
        <v>22</v>
      </c>
      <c r="L84" s="107">
        <v>2498.46</v>
      </c>
      <c r="M84" s="107">
        <v>2700</v>
      </c>
      <c r="N84" s="108"/>
      <c r="O84" s="109">
        <v>3</v>
      </c>
      <c r="P84" s="110">
        <f>Table2[[#This Row],[Sale Cost]]-Table2[[#This Row],[Fare Cost]]</f>
        <v>201.53999999999996</v>
      </c>
      <c r="Q84" s="163">
        <f>MONTH(Table2[[#This Row],[Issued date]])</f>
        <v>5</v>
      </c>
      <c r="R84" s="167"/>
      <c r="S84" s="163"/>
    </row>
    <row r="85" spans="2:19">
      <c r="B85" s="33" t="s">
        <v>243</v>
      </c>
      <c r="C85" s="34" t="s">
        <v>244</v>
      </c>
      <c r="D85" s="35" t="s">
        <v>245</v>
      </c>
      <c r="E85" s="36">
        <v>45865</v>
      </c>
      <c r="F85" s="37">
        <v>45898</v>
      </c>
      <c r="G85" s="38"/>
      <c r="H85" s="75"/>
      <c r="I85" s="9" t="s">
        <v>21</v>
      </c>
      <c r="J85" s="32">
        <v>45780</v>
      </c>
      <c r="K85" s="32" t="s">
        <v>22</v>
      </c>
      <c r="L85" s="72">
        <v>1049.82</v>
      </c>
      <c r="M85" s="72">
        <v>1110</v>
      </c>
      <c r="N85" s="40"/>
      <c r="O85" s="71">
        <v>1</v>
      </c>
      <c r="P85" s="14">
        <f>Table2[[#This Row],[Sale Cost]]-Table2[[#This Row],[Fare Cost]]</f>
        <v>60.180000000000064</v>
      </c>
      <c r="Q85" s="162">
        <f>MONTH(Table2[[#This Row],[Issued date]])</f>
        <v>5</v>
      </c>
      <c r="R85" s="166"/>
      <c r="S85" s="162"/>
    </row>
    <row r="86" spans="2:19">
      <c r="B86" s="33" t="s">
        <v>246</v>
      </c>
      <c r="C86" s="34" t="s">
        <v>247</v>
      </c>
      <c r="D86" s="35" t="s">
        <v>26</v>
      </c>
      <c r="E86" s="36">
        <v>45891</v>
      </c>
      <c r="F86" s="37">
        <v>45909</v>
      </c>
      <c r="G86" s="38"/>
      <c r="H86" s="75"/>
      <c r="I86" s="9" t="s">
        <v>21</v>
      </c>
      <c r="J86" s="32">
        <v>45783</v>
      </c>
      <c r="K86" s="32" t="s">
        <v>22</v>
      </c>
      <c r="L86" s="72">
        <v>739.82</v>
      </c>
      <c r="M86" s="72">
        <v>820</v>
      </c>
      <c r="N86" s="40"/>
      <c r="O86" s="71">
        <v>1</v>
      </c>
      <c r="P86" s="14">
        <f>Table2[[#This Row],[Sale Cost]]-Table2[[#This Row],[Fare Cost]]</f>
        <v>80.17999999999995</v>
      </c>
      <c r="Q86" s="162">
        <f>MONTH(Table2[[#This Row],[Issued date]])</f>
        <v>5</v>
      </c>
      <c r="R86" s="166"/>
      <c r="S86" s="162"/>
    </row>
    <row r="87" spans="2:19">
      <c r="B87" s="33" t="s">
        <v>248</v>
      </c>
      <c r="C87" s="34" t="s">
        <v>249</v>
      </c>
      <c r="D87" s="35" t="s">
        <v>26</v>
      </c>
      <c r="E87" s="36">
        <v>45884</v>
      </c>
      <c r="F87" s="37">
        <v>45923</v>
      </c>
      <c r="G87" s="38"/>
      <c r="H87" s="75"/>
      <c r="I87" s="9" t="s">
        <v>21</v>
      </c>
      <c r="J87" s="32">
        <v>45783</v>
      </c>
      <c r="K87" s="32" t="s">
        <v>22</v>
      </c>
      <c r="L87" s="72">
        <v>1571.88</v>
      </c>
      <c r="M87" s="72">
        <v>1865</v>
      </c>
      <c r="N87" s="40"/>
      <c r="O87" s="71">
        <v>1</v>
      </c>
      <c r="P87" s="14">
        <f>Table2[[#This Row],[Sale Cost]]-Table2[[#This Row],[Fare Cost]]</f>
        <v>293.11999999999989</v>
      </c>
      <c r="Q87" s="162">
        <f>MONTH(Table2[[#This Row],[Issued date]])</f>
        <v>5</v>
      </c>
      <c r="R87" s="166"/>
      <c r="S87" s="162"/>
    </row>
    <row r="88" spans="2:19">
      <c r="B88" s="33" t="s">
        <v>236</v>
      </c>
      <c r="C88" s="34" t="s">
        <v>250</v>
      </c>
      <c r="D88" s="35" t="s">
        <v>26</v>
      </c>
      <c r="E88" s="36">
        <v>45789</v>
      </c>
      <c r="F88" s="37"/>
      <c r="G88" s="38"/>
      <c r="H88" s="75"/>
      <c r="I88">
        <v>240</v>
      </c>
      <c r="J88" s="32">
        <v>45789</v>
      </c>
      <c r="K88" s="32" t="s">
        <v>22</v>
      </c>
      <c r="L88" s="72">
        <v>537.52</v>
      </c>
      <c r="M88" s="72">
        <v>540</v>
      </c>
      <c r="N88" s="40"/>
      <c r="O88" s="71">
        <v>0</v>
      </c>
      <c r="P88" s="14">
        <f>Table2[[#This Row],[Sale Cost]]-Table2[[#This Row],[Fare Cost]]</f>
        <v>2.4800000000000182</v>
      </c>
      <c r="Q88" s="162">
        <f>MONTH(Table2[[#This Row],[Issued date]])</f>
        <v>5</v>
      </c>
      <c r="R88" s="166"/>
      <c r="S88" s="162"/>
    </row>
    <row r="89" spans="2:19">
      <c r="B89" s="33" t="s">
        <v>251</v>
      </c>
      <c r="C89" s="34" t="s">
        <v>252</v>
      </c>
      <c r="D89" s="35" t="s">
        <v>26</v>
      </c>
      <c r="E89" s="36">
        <v>45808</v>
      </c>
      <c r="F89" s="37"/>
      <c r="G89" s="38"/>
      <c r="H89" s="75"/>
      <c r="I89" s="9" t="s">
        <v>21</v>
      </c>
      <c r="J89" s="32">
        <v>45790</v>
      </c>
      <c r="K89" s="32" t="s">
        <v>22</v>
      </c>
      <c r="L89" s="72">
        <v>498.04</v>
      </c>
      <c r="M89" s="72">
        <v>610</v>
      </c>
      <c r="N89" s="40"/>
      <c r="O89" s="71">
        <v>0</v>
      </c>
      <c r="P89" s="14">
        <f>Table2[[#This Row],[Sale Cost]]-Table2[[#This Row],[Fare Cost]]</f>
        <v>111.95999999999998</v>
      </c>
      <c r="Q89" s="162">
        <f>MONTH(Table2[[#This Row],[Issued date]])</f>
        <v>5</v>
      </c>
      <c r="R89" s="166"/>
      <c r="S89" s="162"/>
    </row>
    <row r="90" spans="2:19">
      <c r="B90" s="33" t="s">
        <v>253</v>
      </c>
      <c r="C90" s="34" t="s">
        <v>254</v>
      </c>
      <c r="D90" s="35" t="s">
        <v>63</v>
      </c>
      <c r="E90" s="36">
        <v>45798</v>
      </c>
      <c r="F90" s="37"/>
      <c r="G90" s="38"/>
      <c r="H90" s="75"/>
      <c r="I90" s="9" t="s">
        <v>21</v>
      </c>
      <c r="J90" s="32">
        <v>45790</v>
      </c>
      <c r="K90" s="32" t="s">
        <v>22</v>
      </c>
      <c r="L90" s="72">
        <v>497.5</v>
      </c>
      <c r="M90" s="72">
        <v>565</v>
      </c>
      <c r="N90" s="40"/>
      <c r="O90" s="71">
        <v>1</v>
      </c>
      <c r="P90" s="14">
        <f>Table2[[#This Row],[Sale Cost]]-Table2[[#This Row],[Fare Cost]]</f>
        <v>67.5</v>
      </c>
      <c r="Q90" s="162">
        <f>MONTH(Table2[[#This Row],[Issued date]])</f>
        <v>5</v>
      </c>
      <c r="R90" s="166"/>
      <c r="S90" s="162"/>
    </row>
    <row r="91" spans="2:19">
      <c r="B91" s="33" t="s">
        <v>255</v>
      </c>
      <c r="C91" s="34" t="s">
        <v>256</v>
      </c>
      <c r="D91" s="35" t="s">
        <v>85</v>
      </c>
      <c r="E91" s="36">
        <v>45799</v>
      </c>
      <c r="F91" s="37"/>
      <c r="G91" s="38"/>
      <c r="H91" s="73"/>
      <c r="I91" s="9" t="s">
        <v>21</v>
      </c>
      <c r="J91" s="32">
        <v>45791</v>
      </c>
      <c r="K91" s="71" t="s">
        <v>22</v>
      </c>
      <c r="L91" s="72">
        <v>420.9</v>
      </c>
      <c r="M91" s="72">
        <v>430</v>
      </c>
      <c r="N91" s="40"/>
      <c r="O91" s="71">
        <v>1</v>
      </c>
      <c r="P91" s="14">
        <f>Table2[[#This Row],[Sale Cost]]-Table2[[#This Row],[Fare Cost]]</f>
        <v>9.1000000000000227</v>
      </c>
      <c r="Q91" s="162">
        <f>MONTH(Table2[[#This Row],[Issued date]])</f>
        <v>5</v>
      </c>
      <c r="R91" s="166"/>
      <c r="S91" s="162"/>
    </row>
    <row r="92" spans="2:19" s="50" customFormat="1">
      <c r="B92" s="33" t="s">
        <v>257</v>
      </c>
      <c r="C92" s="34" t="s">
        <v>258</v>
      </c>
      <c r="D92" s="35" t="s">
        <v>26</v>
      </c>
      <c r="E92" s="36">
        <v>45802</v>
      </c>
      <c r="F92" s="37"/>
      <c r="G92" s="38"/>
      <c r="H92" s="73"/>
      <c r="I92" s="9" t="s">
        <v>21</v>
      </c>
      <c r="J92" s="32">
        <v>45792</v>
      </c>
      <c r="K92" s="71" t="s">
        <v>22</v>
      </c>
      <c r="L92" s="72">
        <v>334.52</v>
      </c>
      <c r="M92" s="72">
        <v>395</v>
      </c>
      <c r="N92" s="40"/>
      <c r="O92" s="71">
        <v>1</v>
      </c>
      <c r="P92" s="14">
        <f>Table2[[#This Row],[Sale Cost]]-Table2[[#This Row],[Fare Cost]]</f>
        <v>60.480000000000018</v>
      </c>
      <c r="Q92" s="162">
        <f>MONTH(Table2[[#This Row],[Issued date]])</f>
        <v>5</v>
      </c>
      <c r="R92" s="166"/>
      <c r="S92" s="162"/>
    </row>
    <row r="93" spans="2:19">
      <c r="B93" s="33" t="s">
        <v>148</v>
      </c>
      <c r="C93" s="34" t="s">
        <v>259</v>
      </c>
      <c r="D93" s="35" t="s">
        <v>46</v>
      </c>
      <c r="E93" s="36">
        <v>45795</v>
      </c>
      <c r="F93" s="37">
        <v>45929</v>
      </c>
      <c r="G93" s="38"/>
      <c r="H93" s="73"/>
      <c r="I93" s="9" t="s">
        <v>21</v>
      </c>
      <c r="J93" s="32">
        <v>45793</v>
      </c>
      <c r="K93" s="71" t="s">
        <v>22</v>
      </c>
      <c r="L93" s="72">
        <v>691.42</v>
      </c>
      <c r="M93" s="72">
        <v>835</v>
      </c>
      <c r="N93" s="40"/>
      <c r="O93" s="71">
        <v>1</v>
      </c>
      <c r="P93" s="14">
        <f>Table2[[#This Row],[Sale Cost]]-Table2[[#This Row],[Fare Cost]]</f>
        <v>143.58000000000004</v>
      </c>
      <c r="Q93" s="162">
        <f>MONTH(Table2[[#This Row],[Issued date]])</f>
        <v>5</v>
      </c>
      <c r="R93" s="166"/>
      <c r="S93" s="162"/>
    </row>
    <row r="94" spans="2:19">
      <c r="B94" s="33" t="s">
        <v>260</v>
      </c>
      <c r="C94" s="34" t="s">
        <v>261</v>
      </c>
      <c r="D94" s="35" t="s">
        <v>22</v>
      </c>
      <c r="E94" s="36">
        <v>45903</v>
      </c>
      <c r="F94" s="37">
        <v>45944</v>
      </c>
      <c r="G94" s="38"/>
      <c r="H94" s="75"/>
      <c r="I94" s="9" t="s">
        <v>21</v>
      </c>
      <c r="J94" s="32">
        <v>45798</v>
      </c>
      <c r="K94" s="71" t="s">
        <v>22</v>
      </c>
      <c r="L94" s="72">
        <v>1116.24</v>
      </c>
      <c r="M94" s="72">
        <v>1250</v>
      </c>
      <c r="N94" s="40"/>
      <c r="O94" s="71">
        <v>2</v>
      </c>
      <c r="P94" s="14">
        <f>Table2[[#This Row],[Sale Cost]]-Table2[[#This Row],[Fare Cost]]</f>
        <v>133.76</v>
      </c>
      <c r="Q94" s="162">
        <f>MONTH(Table2[[#This Row],[Issued date]])</f>
        <v>5</v>
      </c>
      <c r="R94" s="166"/>
      <c r="S94" s="162"/>
    </row>
    <row r="95" spans="2:19">
      <c r="B95" s="33" t="s">
        <v>262</v>
      </c>
      <c r="C95" s="34" t="s">
        <v>263</v>
      </c>
      <c r="D95" s="35" t="s">
        <v>33</v>
      </c>
      <c r="E95" s="36">
        <v>45806</v>
      </c>
      <c r="F95" s="37">
        <v>45836</v>
      </c>
      <c r="G95" s="38"/>
      <c r="H95" s="75"/>
      <c r="I95" s="9" t="s">
        <v>21</v>
      </c>
      <c r="J95" s="32">
        <v>45799</v>
      </c>
      <c r="K95" s="71" t="s">
        <v>22</v>
      </c>
      <c r="L95" s="72">
        <v>756.68</v>
      </c>
      <c r="M95" s="72">
        <v>0</v>
      </c>
      <c r="N95" s="40"/>
      <c r="O95" s="71">
        <v>0</v>
      </c>
      <c r="P95" s="14">
        <f>Table2[[#This Row],[Sale Cost]]-Table2[[#This Row],[Fare Cost]]</f>
        <v>-756.68</v>
      </c>
      <c r="Q95" s="162">
        <f>MONTH(Table2[[#This Row],[Issued date]])</f>
        <v>5</v>
      </c>
      <c r="R95" s="166"/>
      <c r="S95" s="162"/>
    </row>
    <row r="96" spans="2:19">
      <c r="B96" s="33" t="s">
        <v>264</v>
      </c>
      <c r="C96" s="34" t="s">
        <v>265</v>
      </c>
      <c r="D96" s="35" t="s">
        <v>26</v>
      </c>
      <c r="E96" s="36">
        <v>45838</v>
      </c>
      <c r="F96" s="37"/>
      <c r="G96" s="38"/>
      <c r="H96" s="75"/>
      <c r="I96" s="9" t="s">
        <v>21</v>
      </c>
      <c r="J96" s="32">
        <v>45800</v>
      </c>
      <c r="K96" s="71" t="s">
        <v>22</v>
      </c>
      <c r="L96" s="72">
        <v>266.2</v>
      </c>
      <c r="M96" s="72">
        <v>345</v>
      </c>
      <c r="N96" s="40"/>
      <c r="O96" s="71">
        <v>0</v>
      </c>
      <c r="P96" s="14">
        <f>Table2[[#This Row],[Sale Cost]]-Table2[[#This Row],[Fare Cost]]</f>
        <v>78.800000000000011</v>
      </c>
      <c r="Q96" s="162">
        <f>MONTH(Table2[[#This Row],[Issued date]])</f>
        <v>5</v>
      </c>
      <c r="R96" s="166"/>
      <c r="S96" s="162"/>
    </row>
    <row r="97" spans="2:19">
      <c r="B97" s="33" t="s">
        <v>266</v>
      </c>
      <c r="C97" s="34" t="s">
        <v>267</v>
      </c>
      <c r="D97" s="35" t="s">
        <v>89</v>
      </c>
      <c r="E97" s="36">
        <v>45802</v>
      </c>
      <c r="F97" s="37">
        <v>45918</v>
      </c>
      <c r="G97" s="38"/>
      <c r="H97" s="75"/>
      <c r="I97" s="9" t="s">
        <v>21</v>
      </c>
      <c r="J97" s="32">
        <v>45800</v>
      </c>
      <c r="K97" s="32" t="s">
        <v>22</v>
      </c>
      <c r="L97" s="72">
        <v>656.32</v>
      </c>
      <c r="M97" s="72">
        <v>775</v>
      </c>
      <c r="N97" s="40"/>
      <c r="O97" s="71">
        <v>1</v>
      </c>
      <c r="P97" s="14">
        <f>Table2[[#This Row],[Sale Cost]]-Table2[[#This Row],[Fare Cost]]</f>
        <v>118.67999999999995</v>
      </c>
      <c r="Q97" s="162">
        <f>MONTH(Table2[[#This Row],[Issued date]])</f>
        <v>5</v>
      </c>
      <c r="R97" s="166"/>
      <c r="S97" s="162"/>
    </row>
    <row r="98" spans="2:19">
      <c r="B98" s="33" t="s">
        <v>268</v>
      </c>
      <c r="C98" s="34" t="s">
        <v>269</v>
      </c>
      <c r="D98" s="35" t="s">
        <v>26</v>
      </c>
      <c r="E98" s="36">
        <v>45812</v>
      </c>
      <c r="F98" s="37">
        <v>45838</v>
      </c>
      <c r="G98" s="38"/>
      <c r="H98" s="75"/>
      <c r="I98" s="9" t="s">
        <v>21</v>
      </c>
      <c r="J98" s="32">
        <v>45800</v>
      </c>
      <c r="K98" s="32" t="s">
        <v>22</v>
      </c>
      <c r="L98" s="72">
        <v>1042.52</v>
      </c>
      <c r="M98" s="72">
        <v>1185</v>
      </c>
      <c r="N98" s="40"/>
      <c r="O98" s="71">
        <v>1</v>
      </c>
      <c r="P98" s="14">
        <f>Table2[[#This Row],[Sale Cost]]-Table2[[#This Row],[Fare Cost]]</f>
        <v>142.48000000000002</v>
      </c>
      <c r="Q98" s="162">
        <f>MONTH(Table2[[#This Row],[Issued date]])</f>
        <v>5</v>
      </c>
      <c r="R98" s="166"/>
      <c r="S98" s="162"/>
    </row>
    <row r="99" spans="2:19">
      <c r="B99" s="33" t="s">
        <v>270</v>
      </c>
      <c r="C99" s="34" t="s">
        <v>271</v>
      </c>
      <c r="D99" s="35" t="s">
        <v>26</v>
      </c>
      <c r="E99" s="36">
        <v>45872</v>
      </c>
      <c r="F99" s="37">
        <v>45960</v>
      </c>
      <c r="G99" s="38"/>
      <c r="H99" s="75"/>
      <c r="I99" s="9" t="s">
        <v>21</v>
      </c>
      <c r="J99" s="32">
        <v>45804</v>
      </c>
      <c r="K99" s="32" t="s">
        <v>22</v>
      </c>
      <c r="L99" s="72">
        <v>930.62</v>
      </c>
      <c r="N99" s="40"/>
      <c r="O99" s="71">
        <v>0</v>
      </c>
      <c r="P99" s="14">
        <f>Table2[[#This Row],[Sale Cost]]-Table2[[#This Row],[Fare Cost]]</f>
        <v>-930.62</v>
      </c>
      <c r="Q99" s="162">
        <f>MONTH(Table2[[#This Row],[Issued date]])</f>
        <v>5</v>
      </c>
      <c r="R99" s="166"/>
      <c r="S99" s="162"/>
    </row>
    <row r="100" spans="2:19">
      <c r="B100" s="33" t="s">
        <v>176</v>
      </c>
      <c r="C100" s="34" t="s">
        <v>177</v>
      </c>
      <c r="D100" s="35" t="s">
        <v>33</v>
      </c>
      <c r="E100" s="36">
        <v>45818</v>
      </c>
      <c r="F100" s="37"/>
      <c r="G100" s="38"/>
      <c r="H100" s="75"/>
      <c r="I100">
        <v>220</v>
      </c>
      <c r="J100" s="32">
        <v>45806</v>
      </c>
      <c r="K100" s="123" t="s">
        <v>47</v>
      </c>
      <c r="L100" s="72">
        <v>140.4</v>
      </c>
      <c r="M100" s="72">
        <v>220</v>
      </c>
      <c r="N100" s="40"/>
      <c r="O100" s="71">
        <v>1</v>
      </c>
      <c r="P100" s="14">
        <f>Table2[[#This Row],[Sale Cost]]-Table2[[#This Row],[Fare Cost]]</f>
        <v>79.599999999999994</v>
      </c>
      <c r="Q100" s="162">
        <f>MONTH(Table2[[#This Row],[Issued date]])</f>
        <v>5</v>
      </c>
      <c r="R100" s="166"/>
      <c r="S100" s="162"/>
    </row>
    <row r="101" spans="2:19" s="86" customFormat="1">
      <c r="B101" s="99" t="s">
        <v>272</v>
      </c>
      <c r="C101" s="100" t="s">
        <v>273</v>
      </c>
      <c r="D101" s="101" t="s">
        <v>20</v>
      </c>
      <c r="E101" s="102">
        <v>45815</v>
      </c>
      <c r="F101" s="103">
        <v>45936</v>
      </c>
      <c r="G101" s="104"/>
      <c r="H101" s="124"/>
      <c r="I101" s="88" t="s">
        <v>21</v>
      </c>
      <c r="J101" s="106">
        <v>45810</v>
      </c>
      <c r="K101" s="106" t="s">
        <v>22</v>
      </c>
      <c r="L101" s="107">
        <v>690.28</v>
      </c>
      <c r="M101" s="107">
        <v>795</v>
      </c>
      <c r="N101" s="108"/>
      <c r="O101" s="109">
        <v>1</v>
      </c>
      <c r="P101" s="110">
        <f>Table2[[#This Row],[Sale Cost]]-Table2[[#This Row],[Fare Cost]]</f>
        <v>104.72000000000003</v>
      </c>
      <c r="Q101" s="163">
        <f>MONTH(Table2[[#This Row],[Issued date]])</f>
        <v>6</v>
      </c>
      <c r="R101" s="167"/>
      <c r="S101" s="163"/>
    </row>
    <row r="102" spans="2:19">
      <c r="B102" s="33" t="s">
        <v>274</v>
      </c>
      <c r="C102" s="34" t="s">
        <v>275</v>
      </c>
      <c r="D102" s="35" t="s">
        <v>30</v>
      </c>
      <c r="E102" s="36">
        <v>45810</v>
      </c>
      <c r="F102" s="37">
        <v>45824</v>
      </c>
      <c r="G102" s="38"/>
      <c r="H102" s="75"/>
      <c r="I102" s="117" t="s">
        <v>21</v>
      </c>
      <c r="J102" s="32">
        <v>45816</v>
      </c>
      <c r="K102" s="32" t="s">
        <v>22</v>
      </c>
      <c r="L102" s="72">
        <v>1466.62</v>
      </c>
      <c r="M102" s="72">
        <v>0</v>
      </c>
      <c r="N102" s="40"/>
      <c r="O102" s="71">
        <v>0.5</v>
      </c>
      <c r="P102" s="14">
        <f>Table2[[#This Row],[Sale Cost]]-Table2[[#This Row],[Fare Cost]]</f>
        <v>-1466.62</v>
      </c>
      <c r="Q102" s="162">
        <f>MONTH(Table2[[#This Row],[Issued date]])</f>
        <v>6</v>
      </c>
      <c r="R102" s="166"/>
      <c r="S102" s="162"/>
    </row>
    <row r="103" spans="2:19">
      <c r="B103" s="33" t="s">
        <v>276</v>
      </c>
      <c r="C103" s="34" t="s">
        <v>277</v>
      </c>
      <c r="D103" s="35" t="s">
        <v>20</v>
      </c>
      <c r="E103" s="36">
        <v>45824</v>
      </c>
      <c r="F103" s="37">
        <v>45883</v>
      </c>
      <c r="G103" s="38"/>
      <c r="H103" s="75"/>
      <c r="I103" s="117" t="s">
        <v>21</v>
      </c>
      <c r="J103" s="32">
        <v>45820</v>
      </c>
      <c r="K103" s="32" t="s">
        <v>22</v>
      </c>
      <c r="L103" s="72">
        <v>1167.6600000000001</v>
      </c>
      <c r="M103" s="72">
        <v>1290</v>
      </c>
      <c r="N103" s="40"/>
      <c r="O103" s="71">
        <v>2</v>
      </c>
      <c r="P103" s="14">
        <f>Table2[[#This Row],[Sale Cost]]-Table2[[#This Row],[Fare Cost]]</f>
        <v>122.33999999999992</v>
      </c>
      <c r="Q103" s="162">
        <f>MONTH(Table2[[#This Row],[Issued date]])</f>
        <v>6</v>
      </c>
      <c r="R103" s="166"/>
      <c r="S103" s="162"/>
    </row>
    <row r="104" spans="2:19">
      <c r="B104" s="33" t="s">
        <v>278</v>
      </c>
      <c r="C104" s="34" t="s">
        <v>279</v>
      </c>
      <c r="D104" s="35" t="s">
        <v>30</v>
      </c>
      <c r="E104" s="36">
        <v>45828</v>
      </c>
      <c r="F104" s="37">
        <v>45851</v>
      </c>
      <c r="G104" s="38"/>
      <c r="H104" s="39"/>
      <c r="I104" s="117" t="s">
        <v>21</v>
      </c>
      <c r="J104" s="32">
        <v>45820</v>
      </c>
      <c r="K104" s="32" t="s">
        <v>22</v>
      </c>
      <c r="L104" s="72">
        <v>1077.6400000000001</v>
      </c>
      <c r="M104" s="72">
        <v>1190</v>
      </c>
      <c r="N104" s="40"/>
      <c r="O104" s="71">
        <v>2</v>
      </c>
      <c r="P104" s="14">
        <f>Table2[[#This Row],[Sale Cost]]-Table2[[#This Row],[Fare Cost]]</f>
        <v>112.3599999999999</v>
      </c>
      <c r="Q104" s="162">
        <f>MONTH(Table2[[#This Row],[Issued date]])</f>
        <v>6</v>
      </c>
      <c r="R104" s="166"/>
      <c r="S104" s="162"/>
    </row>
    <row r="105" spans="2:19">
      <c r="B105" s="33" t="s">
        <v>35</v>
      </c>
      <c r="C105" s="34" t="s">
        <v>280</v>
      </c>
      <c r="D105" s="35" t="s">
        <v>281</v>
      </c>
      <c r="E105" s="36">
        <v>45867</v>
      </c>
      <c r="F105" s="37">
        <v>45888</v>
      </c>
      <c r="G105" s="38"/>
      <c r="H105" s="75"/>
      <c r="I105" s="117" t="s">
        <v>21</v>
      </c>
      <c r="J105" s="32">
        <v>45825</v>
      </c>
      <c r="K105" s="32" t="s">
        <v>22</v>
      </c>
      <c r="L105" s="72">
        <v>1909.76</v>
      </c>
      <c r="M105" s="72">
        <v>2050</v>
      </c>
      <c r="N105" s="40"/>
      <c r="O105" s="71">
        <v>2</v>
      </c>
      <c r="P105" s="14">
        <f>Table2[[#This Row],[Sale Cost]]-Table2[[#This Row],[Fare Cost]]</f>
        <v>140.24</v>
      </c>
      <c r="Q105" s="162">
        <f>MONTH(Table2[[#This Row],[Issued date]])</f>
        <v>6</v>
      </c>
      <c r="R105" s="166"/>
      <c r="S105" s="162"/>
    </row>
    <row r="106" spans="2:19">
      <c r="B106" s="33" t="s">
        <v>282</v>
      </c>
      <c r="C106" s="34" t="s">
        <v>283</v>
      </c>
      <c r="D106" s="35" t="s">
        <v>26</v>
      </c>
      <c r="E106" s="36">
        <v>45837</v>
      </c>
      <c r="F106" s="37">
        <v>45993</v>
      </c>
      <c r="G106" s="38"/>
      <c r="H106" s="75"/>
      <c r="I106" s="117" t="s">
        <v>21</v>
      </c>
      <c r="J106" s="32">
        <v>45826</v>
      </c>
      <c r="K106" s="32" t="s">
        <v>22</v>
      </c>
      <c r="L106" s="72">
        <v>604.02</v>
      </c>
      <c r="M106" s="72">
        <v>685</v>
      </c>
      <c r="N106" s="40"/>
      <c r="O106" s="71">
        <v>1</v>
      </c>
      <c r="P106" s="14">
        <f>Table2[[#This Row],[Sale Cost]]-Table2[[#This Row],[Fare Cost]]</f>
        <v>80.980000000000018</v>
      </c>
      <c r="Q106" s="162">
        <f>MONTH(Table2[[#This Row],[Issued date]])</f>
        <v>6</v>
      </c>
      <c r="R106" s="166"/>
      <c r="S106" s="162"/>
    </row>
    <row r="107" spans="2:19">
      <c r="B107" s="33" t="s">
        <v>48</v>
      </c>
      <c r="C107" s="34" t="s">
        <v>223</v>
      </c>
      <c r="D107" s="35" t="s">
        <v>20</v>
      </c>
      <c r="E107" s="36">
        <v>45860</v>
      </c>
      <c r="F107" s="37"/>
      <c r="G107" s="38"/>
      <c r="H107" s="75"/>
      <c r="I107" s="117" t="s">
        <v>21</v>
      </c>
      <c r="J107" s="32">
        <v>45826</v>
      </c>
      <c r="K107" s="123" t="s">
        <v>47</v>
      </c>
      <c r="L107" s="72">
        <v>150</v>
      </c>
      <c r="M107" s="72">
        <v>250</v>
      </c>
      <c r="N107" s="40"/>
      <c r="O107" s="71">
        <v>0.5</v>
      </c>
      <c r="P107" s="14">
        <f>Table2[[#This Row],[Sale Cost]]-Table2[[#This Row],[Fare Cost]]</f>
        <v>100</v>
      </c>
      <c r="Q107" s="162">
        <f>MONTH(Table2[[#This Row],[Issued date]])</f>
        <v>6</v>
      </c>
      <c r="R107" s="166"/>
      <c r="S107" s="162"/>
    </row>
    <row r="108" spans="2:19">
      <c r="B108" s="33" t="s">
        <v>284</v>
      </c>
      <c r="C108" s="34" t="s">
        <v>285</v>
      </c>
      <c r="D108" s="35" t="s">
        <v>26</v>
      </c>
      <c r="E108" s="36">
        <v>45916</v>
      </c>
      <c r="F108" s="37">
        <v>45993</v>
      </c>
      <c r="G108" s="38"/>
      <c r="H108" s="75"/>
      <c r="I108" s="117" t="s">
        <v>21</v>
      </c>
      <c r="J108" s="32">
        <v>45826</v>
      </c>
      <c r="K108" s="32" t="s">
        <v>22</v>
      </c>
      <c r="L108" s="72">
        <v>604.02</v>
      </c>
      <c r="M108" s="72">
        <v>695</v>
      </c>
      <c r="N108" s="40"/>
      <c r="O108" s="71">
        <v>1</v>
      </c>
      <c r="P108" s="14">
        <f>Table2[[#This Row],[Sale Cost]]-Table2[[#This Row],[Fare Cost]]</f>
        <v>90.980000000000018</v>
      </c>
      <c r="Q108" s="162">
        <f>MONTH(Table2[[#This Row],[Issued date]])</f>
        <v>6</v>
      </c>
      <c r="R108" s="166"/>
      <c r="S108" s="162"/>
    </row>
    <row r="109" spans="2:19">
      <c r="B109" s="33" t="s">
        <v>286</v>
      </c>
      <c r="C109" s="34" t="s">
        <v>287</v>
      </c>
      <c r="D109" s="35" t="s">
        <v>33</v>
      </c>
      <c r="E109" s="36">
        <v>45835</v>
      </c>
      <c r="F109" s="37"/>
      <c r="G109" s="38"/>
      <c r="H109" s="75"/>
      <c r="I109" s="117" t="s">
        <v>21</v>
      </c>
      <c r="J109" s="32">
        <v>45826</v>
      </c>
      <c r="K109" s="32" t="s">
        <v>22</v>
      </c>
      <c r="L109" s="72">
        <v>977.2</v>
      </c>
      <c r="M109" s="72">
        <v>1080</v>
      </c>
      <c r="N109" s="40"/>
      <c r="O109" s="71">
        <v>3</v>
      </c>
      <c r="P109" s="14">
        <f>Table2[[#This Row],[Sale Cost]]-Table2[[#This Row],[Fare Cost]]</f>
        <v>102.79999999999995</v>
      </c>
      <c r="Q109" s="162">
        <f>MONTH(Table2[[#This Row],[Issued date]])</f>
        <v>6</v>
      </c>
      <c r="R109" s="166"/>
      <c r="S109" s="162"/>
    </row>
    <row r="110" spans="2:19">
      <c r="B110" s="33" t="s">
        <v>288</v>
      </c>
      <c r="C110" s="34" t="s">
        <v>289</v>
      </c>
      <c r="D110" s="35" t="s">
        <v>63</v>
      </c>
      <c r="E110" s="36">
        <v>45875</v>
      </c>
      <c r="F110" s="37">
        <v>45911</v>
      </c>
      <c r="G110" s="38"/>
      <c r="H110" s="75"/>
      <c r="I110" s="117" t="s">
        <v>21</v>
      </c>
      <c r="J110" s="32">
        <v>45827</v>
      </c>
      <c r="K110" s="32" t="s">
        <v>22</v>
      </c>
      <c r="L110" s="72">
        <v>2267.1</v>
      </c>
      <c r="M110" s="72">
        <v>2445</v>
      </c>
      <c r="N110" s="40"/>
      <c r="O110" s="71">
        <v>3</v>
      </c>
      <c r="P110" s="14">
        <f>Table2[[#This Row],[Sale Cost]]-Table2[[#This Row],[Fare Cost]]</f>
        <v>177.90000000000009</v>
      </c>
      <c r="Q110" s="162">
        <f>MONTH(Table2[[#This Row],[Issued date]])</f>
        <v>6</v>
      </c>
      <c r="R110" s="166"/>
      <c r="S110" s="162"/>
    </row>
    <row r="111" spans="2:19">
      <c r="B111" s="33" t="s">
        <v>290</v>
      </c>
      <c r="C111" s="34" t="s">
        <v>291</v>
      </c>
      <c r="D111" s="35" t="s">
        <v>89</v>
      </c>
      <c r="E111" s="36">
        <v>45841</v>
      </c>
      <c r="F111" s="37"/>
      <c r="G111" s="38"/>
      <c r="H111" s="75"/>
      <c r="I111" s="117" t="s">
        <v>21</v>
      </c>
      <c r="J111" s="32">
        <v>45829</v>
      </c>
      <c r="K111" s="32" t="s">
        <v>22</v>
      </c>
      <c r="L111" s="72">
        <v>380.8</v>
      </c>
      <c r="M111" s="72">
        <v>430</v>
      </c>
      <c r="N111" s="40"/>
      <c r="O111" s="71">
        <v>1</v>
      </c>
      <c r="P111" s="14">
        <f>Table2[[#This Row],[Sale Cost]]-Table2[[#This Row],[Fare Cost]]</f>
        <v>49.199999999999989</v>
      </c>
      <c r="Q111" s="162">
        <f>MONTH(Table2[[#This Row],[Issued date]])</f>
        <v>6</v>
      </c>
      <c r="R111" s="166"/>
      <c r="S111" s="162"/>
    </row>
    <row r="112" spans="2:19">
      <c r="B112" s="33" t="s">
        <v>292</v>
      </c>
      <c r="C112" s="34" t="s">
        <v>293</v>
      </c>
      <c r="D112" s="35" t="s">
        <v>26</v>
      </c>
      <c r="E112" s="36">
        <v>45877</v>
      </c>
      <c r="F112" s="37">
        <v>45929</v>
      </c>
      <c r="G112" s="38"/>
      <c r="H112" s="75"/>
      <c r="I112" s="117" t="s">
        <v>21</v>
      </c>
      <c r="J112" s="32">
        <v>45832</v>
      </c>
      <c r="K112" s="32" t="s">
        <v>22</v>
      </c>
      <c r="L112" s="72">
        <v>828.32</v>
      </c>
      <c r="M112" s="72">
        <v>895</v>
      </c>
      <c r="N112" s="40"/>
      <c r="O112" s="71">
        <v>0.5</v>
      </c>
      <c r="P112" s="14">
        <f>Table2[[#This Row],[Sale Cost]]-Table2[[#This Row],[Fare Cost]]</f>
        <v>66.67999999999995</v>
      </c>
      <c r="Q112" s="162">
        <f>MONTH(Table2[[#This Row],[Issued date]])</f>
        <v>6</v>
      </c>
      <c r="R112" s="166"/>
      <c r="S112" s="162"/>
    </row>
    <row r="113" spans="2:19">
      <c r="B113" s="33" t="s">
        <v>294</v>
      </c>
      <c r="C113" s="34" t="s">
        <v>295</v>
      </c>
      <c r="D113" s="35" t="s">
        <v>26</v>
      </c>
      <c r="E113" s="36">
        <v>45837</v>
      </c>
      <c r="F113" s="37"/>
      <c r="G113" s="38"/>
      <c r="H113" s="75"/>
      <c r="I113" s="117" t="s">
        <v>21</v>
      </c>
      <c r="J113" s="32">
        <v>45834</v>
      </c>
      <c r="K113" s="32" t="s">
        <v>22</v>
      </c>
      <c r="L113" s="72">
        <v>903.28</v>
      </c>
      <c r="M113" s="72">
        <v>1180</v>
      </c>
      <c r="N113" s="40"/>
      <c r="O113" s="71">
        <v>4</v>
      </c>
      <c r="P113" s="14">
        <f>Table2[[#This Row],[Sale Cost]]-Table2[[#This Row],[Fare Cost]]</f>
        <v>276.72000000000003</v>
      </c>
      <c r="Q113" s="162">
        <f>MONTH(Table2[[#This Row],[Issued date]])</f>
        <v>6</v>
      </c>
      <c r="R113" s="166"/>
      <c r="S113" s="162"/>
    </row>
    <row r="114" spans="2:19">
      <c r="B114" s="33" t="s">
        <v>296</v>
      </c>
      <c r="C114" s="34" t="s">
        <v>297</v>
      </c>
      <c r="D114" s="35" t="s">
        <v>26</v>
      </c>
      <c r="E114" s="36">
        <v>45834</v>
      </c>
      <c r="F114" s="37">
        <v>45859</v>
      </c>
      <c r="G114" s="38"/>
      <c r="H114" s="75"/>
      <c r="I114" s="117" t="s">
        <v>21</v>
      </c>
      <c r="J114" s="32">
        <v>45834</v>
      </c>
      <c r="K114" s="32" t="s">
        <v>22</v>
      </c>
      <c r="L114" s="72">
        <v>578.02</v>
      </c>
      <c r="M114" s="72">
        <v>625</v>
      </c>
      <c r="N114" s="40"/>
      <c r="O114" s="71">
        <v>1</v>
      </c>
      <c r="P114" s="14">
        <f>Table2[[#This Row],[Sale Cost]]-Table2[[#This Row],[Fare Cost]]</f>
        <v>46.980000000000018</v>
      </c>
      <c r="Q114" s="162">
        <f>MONTH(Table2[[#This Row],[Issued date]])</f>
        <v>6</v>
      </c>
      <c r="R114" s="166"/>
      <c r="S114" s="162"/>
    </row>
    <row r="115" spans="2:19">
      <c r="B115" s="33" t="s">
        <v>282</v>
      </c>
      <c r="C115" s="34" t="s">
        <v>283</v>
      </c>
      <c r="D115" s="35" t="s">
        <v>26</v>
      </c>
      <c r="E115" s="36">
        <v>45916</v>
      </c>
      <c r="F115" s="37">
        <v>45993</v>
      </c>
      <c r="G115" s="38"/>
      <c r="H115" s="75"/>
      <c r="I115" s="117" t="s">
        <v>21</v>
      </c>
      <c r="J115" s="32">
        <v>45835</v>
      </c>
      <c r="K115" s="123" t="s">
        <v>47</v>
      </c>
      <c r="L115" s="72">
        <v>44</v>
      </c>
      <c r="M115" s="72">
        <v>195</v>
      </c>
      <c r="N115" s="40"/>
      <c r="O115" s="71">
        <v>0.5</v>
      </c>
      <c r="P115" s="14">
        <f>Table2[[#This Row],[Sale Cost]]-Table2[[#This Row],[Fare Cost]]</f>
        <v>151</v>
      </c>
      <c r="Q115" s="162">
        <f>MONTH(Table2[[#This Row],[Issued date]])</f>
        <v>6</v>
      </c>
      <c r="R115" s="166"/>
      <c r="S115" s="162"/>
    </row>
    <row r="116" spans="2:19">
      <c r="B116" s="33" t="s">
        <v>286</v>
      </c>
      <c r="C116" s="34" t="s">
        <v>287</v>
      </c>
      <c r="D116" s="35" t="s">
        <v>33</v>
      </c>
      <c r="E116" s="36">
        <v>45835</v>
      </c>
      <c r="F116" s="37"/>
      <c r="G116" s="38"/>
      <c r="H116" s="75"/>
      <c r="I116" s="117" t="s">
        <v>21</v>
      </c>
      <c r="J116" s="32">
        <v>45835</v>
      </c>
      <c r="K116" s="32" t="s">
        <v>298</v>
      </c>
      <c r="L116" s="72">
        <v>2.9</v>
      </c>
      <c r="M116" s="72">
        <v>0</v>
      </c>
      <c r="N116" s="40"/>
      <c r="O116" s="71">
        <v>0</v>
      </c>
      <c r="P116" s="14">
        <f>Table2[[#This Row],[Sale Cost]]-Table2[[#This Row],[Fare Cost]]</f>
        <v>-2.9</v>
      </c>
      <c r="Q116" s="162">
        <f>MONTH(Table2[[#This Row],[Issued date]])</f>
        <v>6</v>
      </c>
      <c r="R116" s="166"/>
      <c r="S116" s="162"/>
    </row>
    <row r="117" spans="2:19" s="33" customFormat="1">
      <c r="B117" s="33" t="s">
        <v>299</v>
      </c>
      <c r="C117" s="34" t="s">
        <v>300</v>
      </c>
      <c r="D117" s="35" t="s">
        <v>63</v>
      </c>
      <c r="E117" s="36">
        <v>45840</v>
      </c>
      <c r="F117" s="37">
        <v>45845</v>
      </c>
      <c r="G117" s="38"/>
      <c r="H117" s="39"/>
      <c r="I117" s="117" t="s">
        <v>21</v>
      </c>
      <c r="J117" s="32">
        <v>45835</v>
      </c>
      <c r="K117" s="32" t="s">
        <v>22</v>
      </c>
      <c r="L117" s="72">
        <v>550.71</v>
      </c>
      <c r="M117" s="72">
        <v>595</v>
      </c>
      <c r="N117" s="40"/>
      <c r="O117" s="71">
        <v>0.5</v>
      </c>
      <c r="P117" s="14">
        <f>Table2[[#This Row],[Sale Cost]]-Table2[[#This Row],[Fare Cost]]</f>
        <v>44.289999999999964</v>
      </c>
      <c r="Q117" s="162">
        <f>MONTH(Table2[[#This Row],[Issued date]])</f>
        <v>6</v>
      </c>
      <c r="R117" s="166"/>
      <c r="S117" s="162"/>
    </row>
    <row r="118" spans="2:19" s="50" customFormat="1">
      <c r="B118" s="33" t="s">
        <v>301</v>
      </c>
      <c r="C118" s="34" t="s">
        <v>302</v>
      </c>
      <c r="D118" s="35" t="s">
        <v>63</v>
      </c>
      <c r="E118" s="36">
        <v>45840</v>
      </c>
      <c r="F118" s="37">
        <v>45845</v>
      </c>
      <c r="G118" s="38"/>
      <c r="H118" s="75"/>
      <c r="I118" s="117" t="s">
        <v>21</v>
      </c>
      <c r="J118" s="32">
        <v>45835</v>
      </c>
      <c r="K118" s="32" t="s">
        <v>22</v>
      </c>
      <c r="L118" s="72">
        <v>460.71</v>
      </c>
      <c r="M118" s="72">
        <v>595</v>
      </c>
      <c r="N118" s="40"/>
      <c r="O118" s="71">
        <v>0.5</v>
      </c>
      <c r="P118" s="14">
        <f>Table2[[#This Row],[Sale Cost]]-Table2[[#This Row],[Fare Cost]]</f>
        <v>134.29000000000002</v>
      </c>
      <c r="Q118" s="162">
        <f>MONTH(Table2[[#This Row],[Issued date]])</f>
        <v>6</v>
      </c>
      <c r="R118" s="166"/>
      <c r="S118" s="162"/>
    </row>
    <row r="119" spans="2:19" s="50" customFormat="1">
      <c r="B119" s="33" t="s">
        <v>303</v>
      </c>
      <c r="C119" s="34" t="s">
        <v>304</v>
      </c>
      <c r="D119" s="35" t="s">
        <v>63</v>
      </c>
      <c r="E119" s="36">
        <v>45840</v>
      </c>
      <c r="F119" s="37">
        <v>45845</v>
      </c>
      <c r="G119" s="38"/>
      <c r="H119" s="75"/>
      <c r="I119" s="117" t="s">
        <v>21</v>
      </c>
      <c r="J119" s="32">
        <v>45835</v>
      </c>
      <c r="K119" s="32" t="s">
        <v>22</v>
      </c>
      <c r="L119" s="72">
        <v>754.51</v>
      </c>
      <c r="M119" s="72">
        <v>795</v>
      </c>
      <c r="N119" s="40"/>
      <c r="O119" s="71">
        <v>0.5</v>
      </c>
      <c r="P119" s="14">
        <f>Table2[[#This Row],[Sale Cost]]-Table2[[#This Row],[Fare Cost]]</f>
        <v>40.490000000000009</v>
      </c>
      <c r="Q119" s="162">
        <f>MONTH(Table2[[#This Row],[Issued date]])</f>
        <v>6</v>
      </c>
      <c r="R119" s="166"/>
      <c r="S119" s="162"/>
    </row>
    <row r="120" spans="2:19">
      <c r="B120" s="33" t="s">
        <v>198</v>
      </c>
      <c r="C120" s="34" t="s">
        <v>305</v>
      </c>
      <c r="D120" s="35" t="s">
        <v>46</v>
      </c>
      <c r="E120" s="36">
        <v>46005</v>
      </c>
      <c r="F120" s="37">
        <v>45669</v>
      </c>
      <c r="G120" s="38"/>
      <c r="H120" s="75"/>
      <c r="I120" s="117" t="s">
        <v>21</v>
      </c>
      <c r="J120" s="32">
        <v>45836</v>
      </c>
      <c r="K120" s="32" t="s">
        <v>22</v>
      </c>
      <c r="L120" s="72">
        <v>3172.68</v>
      </c>
      <c r="M120" s="72">
        <v>3500</v>
      </c>
      <c r="N120" s="40"/>
      <c r="O120" s="71">
        <v>4</v>
      </c>
      <c r="P120" s="14">
        <f>Table2[[#This Row],[Sale Cost]]-Table2[[#This Row],[Fare Cost]]</f>
        <v>327.32000000000016</v>
      </c>
      <c r="Q120" s="162">
        <f>MONTH(Table2[[#This Row],[Issued date]])</f>
        <v>6</v>
      </c>
      <c r="R120" s="166"/>
      <c r="S120" s="162"/>
    </row>
    <row r="121" spans="2:19">
      <c r="B121" s="33" t="s">
        <v>306</v>
      </c>
      <c r="C121" s="34" t="s">
        <v>307</v>
      </c>
      <c r="D121" s="35" t="s">
        <v>308</v>
      </c>
      <c r="E121" s="36">
        <v>45946</v>
      </c>
      <c r="F121" s="37">
        <v>45961</v>
      </c>
      <c r="G121" s="38"/>
      <c r="H121" s="75"/>
      <c r="I121" s="117" t="s">
        <v>21</v>
      </c>
      <c r="J121" s="32">
        <v>45837</v>
      </c>
      <c r="K121" s="32" t="s">
        <v>22</v>
      </c>
      <c r="L121" s="72">
        <v>644.91999999999996</v>
      </c>
      <c r="M121" s="72">
        <v>795</v>
      </c>
      <c r="N121" s="40"/>
      <c r="O121" s="71">
        <v>0.5</v>
      </c>
      <c r="P121" s="14">
        <f>Table2[[#This Row],[Sale Cost]]-Table2[[#This Row],[Fare Cost]]</f>
        <v>150.08000000000004</v>
      </c>
      <c r="Q121" s="162">
        <f>MONTH(Table2[[#This Row],[Issued date]])</f>
        <v>6</v>
      </c>
      <c r="R121" s="166"/>
      <c r="S121" s="162"/>
    </row>
    <row r="122" spans="2:19">
      <c r="B122" s="33" t="s">
        <v>309</v>
      </c>
      <c r="C122" s="34" t="s">
        <v>310</v>
      </c>
      <c r="D122" s="35" t="s">
        <v>22</v>
      </c>
      <c r="E122" s="36">
        <v>45939</v>
      </c>
      <c r="F122" s="37">
        <v>45973</v>
      </c>
      <c r="G122" s="36"/>
      <c r="H122" s="75"/>
      <c r="I122" s="117" t="s">
        <v>21</v>
      </c>
      <c r="J122" s="32">
        <v>45838</v>
      </c>
      <c r="K122" s="76" t="s">
        <v>22</v>
      </c>
      <c r="L122" s="72">
        <v>1019.16</v>
      </c>
      <c r="M122" s="72">
        <v>1140</v>
      </c>
      <c r="N122" s="40"/>
      <c r="O122" s="71">
        <v>2</v>
      </c>
      <c r="P122" s="14">
        <f>Table2[[#This Row],[Sale Cost]]-Table2[[#This Row],[Fare Cost]]</f>
        <v>120.84000000000003</v>
      </c>
      <c r="Q122" s="162">
        <f>MONTH(Table2[[#This Row],[Issued date]])</f>
        <v>6</v>
      </c>
      <c r="R122" s="166"/>
      <c r="S122" s="162"/>
    </row>
    <row r="123" spans="2:19">
      <c r="B123" s="33" t="s">
        <v>311</v>
      </c>
      <c r="C123" s="34" t="s">
        <v>312</v>
      </c>
      <c r="D123" s="35" t="s">
        <v>20</v>
      </c>
      <c r="E123" s="36">
        <v>45855</v>
      </c>
      <c r="F123" s="37"/>
      <c r="G123" s="36"/>
      <c r="H123" s="75"/>
      <c r="I123" s="117" t="s">
        <v>21</v>
      </c>
      <c r="J123" s="32">
        <v>45838</v>
      </c>
      <c r="K123" s="76" t="s">
        <v>22</v>
      </c>
      <c r="L123" s="72">
        <v>552.62</v>
      </c>
      <c r="M123" s="72">
        <v>605</v>
      </c>
      <c r="N123" s="40"/>
      <c r="O123" s="71">
        <v>1</v>
      </c>
      <c r="P123" s="14">
        <f>Table2[[#This Row],[Sale Cost]]-Table2[[#This Row],[Fare Cost]]</f>
        <v>52.379999999999995</v>
      </c>
      <c r="Q123" s="162">
        <f>MONTH(Table2[[#This Row],[Issued date]])</f>
        <v>6</v>
      </c>
      <c r="R123" s="166"/>
      <c r="S123" s="162"/>
    </row>
    <row r="124" spans="2:19" s="159" customFormat="1">
      <c r="B124" s="33" t="s">
        <v>313</v>
      </c>
      <c r="C124" s="148" t="s">
        <v>314</v>
      </c>
      <c r="D124" s="149" t="s">
        <v>20</v>
      </c>
      <c r="E124" s="150">
        <v>46108</v>
      </c>
      <c r="F124" s="151">
        <v>45775</v>
      </c>
      <c r="G124" s="150"/>
      <c r="H124" s="152"/>
      <c r="I124" s="153" t="s">
        <v>21</v>
      </c>
      <c r="J124" s="85">
        <v>45838</v>
      </c>
      <c r="K124" s="154" t="s">
        <v>22</v>
      </c>
      <c r="L124" s="155">
        <v>5826.24</v>
      </c>
      <c r="M124" s="155">
        <v>6520</v>
      </c>
      <c r="N124" s="156"/>
      <c r="O124" s="157">
        <v>8</v>
      </c>
      <c r="P124" s="158">
        <f>Table2[[#This Row],[Sale Cost]]-Table2[[#This Row],[Fare Cost]]</f>
        <v>693.76000000000022</v>
      </c>
      <c r="Q124" s="164">
        <f>MONTH(Table2[[#This Row],[Issued date]])</f>
        <v>6</v>
      </c>
      <c r="R124" s="168"/>
      <c r="S124" s="164"/>
    </row>
    <row r="125" spans="2:19" s="86" customFormat="1">
      <c r="B125" s="99" t="s">
        <v>303</v>
      </c>
      <c r="C125" s="100" t="s">
        <v>304</v>
      </c>
      <c r="D125" s="101" t="s">
        <v>63</v>
      </c>
      <c r="E125" s="102">
        <v>45840</v>
      </c>
      <c r="F125" s="103">
        <v>45845</v>
      </c>
      <c r="G125" s="102"/>
      <c r="H125" s="124"/>
      <c r="I125" s="93" t="s">
        <v>21</v>
      </c>
      <c r="J125" s="106">
        <v>45839</v>
      </c>
      <c r="K125" s="146" t="s">
        <v>22</v>
      </c>
      <c r="L125" s="147">
        <v>754.51</v>
      </c>
      <c r="M125" s="107">
        <v>825</v>
      </c>
      <c r="N125" s="108"/>
      <c r="O125" s="109">
        <v>0.5</v>
      </c>
      <c r="P125" s="110">
        <f>Table2[[#This Row],[Sale Cost]]-Table2[[#This Row],[Fare Cost]]</f>
        <v>70.490000000000009</v>
      </c>
      <c r="Q125" s="163">
        <f>MONTH(Table2[[#This Row],[Issued date]])</f>
        <v>7</v>
      </c>
      <c r="R125" s="167"/>
      <c r="S125" s="163"/>
    </row>
    <row r="126" spans="2:19">
      <c r="B126" s="33" t="s">
        <v>315</v>
      </c>
      <c r="C126" s="34" t="s">
        <v>316</v>
      </c>
      <c r="D126" s="35" t="s">
        <v>22</v>
      </c>
      <c r="E126" s="36">
        <v>45890</v>
      </c>
      <c r="F126" s="37">
        <v>45952</v>
      </c>
      <c r="G126" s="36"/>
      <c r="H126" s="75"/>
      <c r="I126" s="9" t="s">
        <v>21</v>
      </c>
      <c r="J126" s="32">
        <v>45839</v>
      </c>
      <c r="K126" s="76" t="s">
        <v>22</v>
      </c>
      <c r="L126" s="72">
        <v>805.6</v>
      </c>
      <c r="M126" s="72">
        <v>895</v>
      </c>
      <c r="N126" s="40"/>
      <c r="O126" s="71">
        <v>1</v>
      </c>
      <c r="P126" s="14">
        <f>Table2[[#This Row],[Sale Cost]]-Table2[[#This Row],[Fare Cost]]</f>
        <v>89.399999999999977</v>
      </c>
      <c r="Q126" s="162">
        <f>MONTH(Table2[[#This Row],[Issued date]])</f>
        <v>7</v>
      </c>
      <c r="R126" s="166"/>
      <c r="S126" s="162"/>
    </row>
    <row r="127" spans="2:19">
      <c r="B127" s="33" t="s">
        <v>317</v>
      </c>
      <c r="C127" s="34" t="s">
        <v>318</v>
      </c>
      <c r="D127" s="35" t="s">
        <v>20</v>
      </c>
      <c r="E127" s="36">
        <v>45849</v>
      </c>
      <c r="F127" s="37">
        <v>45885</v>
      </c>
      <c r="G127" s="36"/>
      <c r="H127" s="75"/>
      <c r="I127" s="9" t="s">
        <v>21</v>
      </c>
      <c r="J127" s="32">
        <v>45840</v>
      </c>
      <c r="K127" s="76" t="s">
        <v>22</v>
      </c>
      <c r="L127" s="72">
        <v>790.87</v>
      </c>
      <c r="M127" s="72">
        <v>845</v>
      </c>
      <c r="N127" s="40"/>
      <c r="O127" s="71">
        <v>2</v>
      </c>
      <c r="P127" s="14">
        <f>Table2[[#This Row],[Sale Cost]]-Table2[[#This Row],[Fare Cost]]</f>
        <v>54.129999999999995</v>
      </c>
      <c r="Q127" s="162">
        <f>MONTH(Table2[[#This Row],[Issued date]])</f>
        <v>7</v>
      </c>
      <c r="R127" s="166"/>
      <c r="S127" s="162"/>
    </row>
    <row r="128" spans="2:19">
      <c r="B128" s="33" t="s">
        <v>319</v>
      </c>
      <c r="C128" s="34" t="s">
        <v>320</v>
      </c>
      <c r="D128" s="35" t="s">
        <v>26</v>
      </c>
      <c r="E128" s="36">
        <v>45846</v>
      </c>
      <c r="F128" s="37">
        <v>45860</v>
      </c>
      <c r="G128" s="38"/>
      <c r="H128" s="75"/>
      <c r="I128" s="9" t="s">
        <v>21</v>
      </c>
      <c r="J128" s="32">
        <v>45840</v>
      </c>
      <c r="K128" s="32" t="s">
        <v>22</v>
      </c>
      <c r="L128" s="72">
        <v>699.02</v>
      </c>
      <c r="M128" s="72">
        <v>800</v>
      </c>
      <c r="N128" s="40"/>
      <c r="O128" s="71">
        <v>0.5</v>
      </c>
      <c r="P128" s="14">
        <f>Table2[[#This Row],[Sale Cost]]-Table2[[#This Row],[Fare Cost]]</f>
        <v>100.98000000000002</v>
      </c>
      <c r="Q128" s="162">
        <f>MONTH(Table2[[#This Row],[Issued date]])</f>
        <v>7</v>
      </c>
      <c r="R128" s="166"/>
      <c r="S128" s="162"/>
    </row>
    <row r="129" spans="2:19">
      <c r="B129" s="33" t="s">
        <v>321</v>
      </c>
      <c r="C129" s="34" t="s">
        <v>322</v>
      </c>
      <c r="D129" s="35" t="s">
        <v>26</v>
      </c>
      <c r="E129" s="36">
        <v>45933</v>
      </c>
      <c r="F129" s="37">
        <v>45940</v>
      </c>
      <c r="G129" s="38"/>
      <c r="H129" s="75"/>
      <c r="I129" s="9" t="s">
        <v>21</v>
      </c>
      <c r="J129" s="32">
        <v>45841</v>
      </c>
      <c r="K129" s="32" t="s">
        <v>22</v>
      </c>
      <c r="L129" s="72">
        <v>2398.1</v>
      </c>
      <c r="M129" s="72">
        <v>2495</v>
      </c>
      <c r="N129" s="40"/>
      <c r="O129" s="71">
        <v>0</v>
      </c>
      <c r="P129" s="14">
        <f>Table2[[#This Row],[Sale Cost]]-Table2[[#This Row],[Fare Cost]]</f>
        <v>96.900000000000091</v>
      </c>
      <c r="Q129" s="162">
        <f>MONTH(Table2[[#This Row],[Issued date]])</f>
        <v>7</v>
      </c>
      <c r="R129" s="166"/>
      <c r="S129" s="162"/>
    </row>
    <row r="130" spans="2:19">
      <c r="B130" s="33" t="s">
        <v>323</v>
      </c>
      <c r="C130" s="34" t="s">
        <v>324</v>
      </c>
      <c r="D130" s="35" t="s">
        <v>63</v>
      </c>
      <c r="E130" s="36">
        <v>45846</v>
      </c>
      <c r="F130" s="37"/>
      <c r="G130" s="38"/>
      <c r="H130" s="75"/>
      <c r="I130" s="9" t="s">
        <v>21</v>
      </c>
      <c r="J130" s="32">
        <v>45863</v>
      </c>
      <c r="K130" s="32" t="s">
        <v>22</v>
      </c>
      <c r="L130" s="72">
        <v>760.3</v>
      </c>
      <c r="M130" s="72">
        <v>795</v>
      </c>
      <c r="N130" s="40"/>
      <c r="O130" s="71">
        <v>0.5</v>
      </c>
      <c r="P130" s="14">
        <f>Table2[[#This Row],[Sale Cost]]-Table2[[#This Row],[Fare Cost]]</f>
        <v>34.700000000000045</v>
      </c>
      <c r="Q130" s="162">
        <f>MONTH(Table2[[#This Row],[Issued date]])</f>
        <v>7</v>
      </c>
      <c r="R130" s="166"/>
      <c r="S130" s="162"/>
    </row>
    <row r="131" spans="2:19">
      <c r="B131" s="33" t="s">
        <v>325</v>
      </c>
      <c r="C131" s="34" t="s">
        <v>326</v>
      </c>
      <c r="D131" s="35" t="s">
        <v>26</v>
      </c>
      <c r="E131" s="36">
        <v>45875</v>
      </c>
      <c r="F131" s="37">
        <v>45900</v>
      </c>
      <c r="G131" s="38"/>
      <c r="H131" s="75"/>
      <c r="I131" s="9" t="s">
        <v>21</v>
      </c>
      <c r="J131" s="32">
        <v>45843</v>
      </c>
      <c r="K131" s="32" t="s">
        <v>22</v>
      </c>
      <c r="L131" s="72">
        <v>1957.24</v>
      </c>
      <c r="M131" s="72">
        <v>2110</v>
      </c>
      <c r="N131" s="40"/>
      <c r="O131" s="71">
        <v>2</v>
      </c>
      <c r="P131" s="14">
        <f>Table2[[#This Row],[Sale Cost]]-Table2[[#This Row],[Fare Cost]]</f>
        <v>152.76</v>
      </c>
      <c r="Q131" s="162">
        <f>MONTH(Table2[[#This Row],[Issued date]])</f>
        <v>7</v>
      </c>
      <c r="R131" s="166"/>
      <c r="S131" s="162"/>
    </row>
    <row r="132" spans="2:19">
      <c r="B132" s="33" t="s">
        <v>327</v>
      </c>
      <c r="C132" s="34" t="s">
        <v>328</v>
      </c>
      <c r="D132" s="35" t="s">
        <v>26</v>
      </c>
      <c r="E132" s="36">
        <v>45847</v>
      </c>
      <c r="F132" s="37">
        <v>45871</v>
      </c>
      <c r="G132" s="38"/>
      <c r="H132" s="75"/>
      <c r="I132" s="9" t="s">
        <v>21</v>
      </c>
      <c r="J132" s="32">
        <v>45845</v>
      </c>
      <c r="K132" s="32" t="s">
        <v>22</v>
      </c>
      <c r="L132" s="72">
        <v>784.06</v>
      </c>
      <c r="M132" s="72">
        <v>845</v>
      </c>
      <c r="N132" s="40"/>
      <c r="O132" s="71">
        <v>0.5</v>
      </c>
      <c r="P132" s="14">
        <f>Table2[[#This Row],[Sale Cost]]-Table2[[#This Row],[Fare Cost]]</f>
        <v>60.940000000000055</v>
      </c>
      <c r="Q132" s="162">
        <f>MONTH(Table2[[#This Row],[Issued date]])</f>
        <v>7</v>
      </c>
      <c r="R132" s="166"/>
      <c r="S132" s="162"/>
    </row>
    <row r="133" spans="2:19">
      <c r="B133" s="33" t="s">
        <v>329</v>
      </c>
      <c r="C133" s="34" t="s">
        <v>330</v>
      </c>
      <c r="D133" s="35" t="s">
        <v>26</v>
      </c>
      <c r="E133" s="36">
        <v>45875</v>
      </c>
      <c r="F133" s="37">
        <v>45900</v>
      </c>
      <c r="G133" s="38"/>
      <c r="H133" s="75"/>
      <c r="I133" s="9" t="s">
        <v>21</v>
      </c>
      <c r="J133" s="32">
        <v>45855</v>
      </c>
      <c r="K133" s="32" t="s">
        <v>22</v>
      </c>
      <c r="L133" s="72">
        <v>1193.02</v>
      </c>
      <c r="M133" s="72">
        <v>1295</v>
      </c>
      <c r="N133" s="40"/>
      <c r="O133" s="71">
        <v>1</v>
      </c>
      <c r="P133" s="14">
        <f>Table2[[#This Row],[Sale Cost]]-Table2[[#This Row],[Fare Cost]]</f>
        <v>101.98000000000002</v>
      </c>
      <c r="Q133" s="162">
        <f>MONTH(Table2[[#This Row],[Issued date]])</f>
        <v>7</v>
      </c>
      <c r="R133" s="166"/>
      <c r="S133" s="162"/>
    </row>
    <row r="134" spans="2:19">
      <c r="B134" s="33" t="s">
        <v>331</v>
      </c>
      <c r="C134" s="34" t="s">
        <v>332</v>
      </c>
      <c r="D134" s="35" t="s">
        <v>89</v>
      </c>
      <c r="E134" s="36">
        <v>45872</v>
      </c>
      <c r="F134" s="37">
        <v>45893</v>
      </c>
      <c r="G134" s="38"/>
      <c r="H134" s="75"/>
      <c r="I134" s="9" t="s">
        <v>21</v>
      </c>
      <c r="J134" s="32">
        <v>45857</v>
      </c>
      <c r="K134" s="123" t="s">
        <v>47</v>
      </c>
      <c r="L134" s="72">
        <v>231</v>
      </c>
      <c r="M134" s="72">
        <v>295</v>
      </c>
      <c r="N134" s="40"/>
      <c r="O134" s="71">
        <v>1</v>
      </c>
      <c r="P134" s="14">
        <f>Table2[[#This Row],[Sale Cost]]-Table2[[#This Row],[Fare Cost]]</f>
        <v>64</v>
      </c>
      <c r="Q134" s="162">
        <f>MONTH(Table2[[#This Row],[Issued date]])</f>
        <v>7</v>
      </c>
      <c r="R134" s="166"/>
      <c r="S134" s="162"/>
    </row>
    <row r="135" spans="2:19">
      <c r="B135" s="33" t="s">
        <v>333</v>
      </c>
      <c r="C135" s="34" t="s">
        <v>334</v>
      </c>
      <c r="D135" s="35" t="s">
        <v>335</v>
      </c>
      <c r="E135" s="36">
        <v>45894</v>
      </c>
      <c r="F135" s="37">
        <v>45909</v>
      </c>
      <c r="G135" s="38"/>
      <c r="H135" s="39"/>
      <c r="I135" s="9" t="s">
        <v>21</v>
      </c>
      <c r="J135" s="32">
        <v>45862</v>
      </c>
      <c r="K135" s="32" t="s">
        <v>22</v>
      </c>
      <c r="L135" s="72">
        <v>490.12</v>
      </c>
      <c r="M135" s="72">
        <v>530</v>
      </c>
      <c r="N135" s="40"/>
      <c r="O135" s="71">
        <v>0.5</v>
      </c>
      <c r="P135" s="14">
        <f>Table2[[#This Row],[Sale Cost]]-Table2[[#This Row],[Fare Cost]]</f>
        <v>39.879999999999995</v>
      </c>
      <c r="Q135" s="162">
        <f>MONTH(Table2[[#This Row],[Issued date]])</f>
        <v>7</v>
      </c>
      <c r="R135" s="166"/>
      <c r="S135" s="162"/>
    </row>
    <row r="136" spans="2:19">
      <c r="B136" s="33" t="s">
        <v>336</v>
      </c>
      <c r="C136" s="34" t="s">
        <v>337</v>
      </c>
      <c r="D136" s="35" t="s">
        <v>33</v>
      </c>
      <c r="E136" s="36">
        <v>45862</v>
      </c>
      <c r="F136" s="37">
        <v>45909</v>
      </c>
      <c r="G136" s="38"/>
      <c r="H136" s="75"/>
      <c r="I136" s="9" t="s">
        <v>21</v>
      </c>
      <c r="J136" s="32">
        <v>45862</v>
      </c>
      <c r="K136" s="32" t="s">
        <v>22</v>
      </c>
      <c r="L136" s="72">
        <v>2310</v>
      </c>
      <c r="M136" s="72">
        <v>2320</v>
      </c>
      <c r="N136" s="40"/>
      <c r="O136" s="71">
        <v>0</v>
      </c>
      <c r="P136" s="14">
        <f>Table2[[#This Row],[Sale Cost]]-Table2[[#This Row],[Fare Cost]]</f>
        <v>10</v>
      </c>
      <c r="Q136" s="162">
        <f>MONTH(Table2[[#This Row],[Issued date]])</f>
        <v>7</v>
      </c>
      <c r="R136" s="166"/>
      <c r="S136" s="162"/>
    </row>
    <row r="137" spans="2:19">
      <c r="B137" s="33" t="s">
        <v>338</v>
      </c>
      <c r="C137" s="34" t="s">
        <v>339</v>
      </c>
      <c r="D137" s="35" t="s">
        <v>20</v>
      </c>
      <c r="E137" s="36">
        <v>45868</v>
      </c>
      <c r="F137" s="37">
        <v>45902</v>
      </c>
      <c r="G137" s="38"/>
      <c r="H137" s="75"/>
      <c r="I137" s="9" t="s">
        <v>21</v>
      </c>
      <c r="J137" s="32">
        <v>45862</v>
      </c>
      <c r="K137" s="32" t="s">
        <v>22</v>
      </c>
      <c r="L137" s="72">
        <v>2652.98</v>
      </c>
      <c r="M137" s="72">
        <v>3050</v>
      </c>
      <c r="N137" s="40"/>
      <c r="O137" s="71">
        <v>2</v>
      </c>
      <c r="P137" s="14">
        <f>Table2[[#This Row],[Sale Cost]]-Table2[[#This Row],[Fare Cost]]</f>
        <v>397.02</v>
      </c>
      <c r="Q137" s="162">
        <f>MONTH(Table2[[#This Row],[Issued date]])</f>
        <v>7</v>
      </c>
      <c r="R137" s="166"/>
      <c r="S137" s="162"/>
    </row>
    <row r="138" spans="2:19">
      <c r="B138" s="33" t="s">
        <v>340</v>
      </c>
      <c r="C138" s="34" t="s">
        <v>341</v>
      </c>
      <c r="D138" s="35" t="s">
        <v>22</v>
      </c>
      <c r="E138" s="36">
        <v>45865</v>
      </c>
      <c r="F138" s="37"/>
      <c r="G138" s="38"/>
      <c r="H138" s="75"/>
      <c r="I138" s="9" t="s">
        <v>21</v>
      </c>
      <c r="J138" s="32">
        <v>45863</v>
      </c>
      <c r="K138" s="32" t="s">
        <v>22</v>
      </c>
      <c r="L138" s="72">
        <v>2428.2399999999998</v>
      </c>
      <c r="M138" s="72">
        <v>2590</v>
      </c>
      <c r="N138" s="40"/>
      <c r="O138" s="71">
        <v>2</v>
      </c>
      <c r="P138" s="14">
        <f>Table2[[#This Row],[Sale Cost]]-Table2[[#This Row],[Fare Cost]]</f>
        <v>161.76000000000022</v>
      </c>
      <c r="Q138" s="162">
        <f>MONTH(Table2[[#This Row],[Issued date]])</f>
        <v>7</v>
      </c>
      <c r="R138" s="166"/>
      <c r="S138" s="162"/>
    </row>
    <row r="139" spans="2:19">
      <c r="B139" s="33" t="s">
        <v>342</v>
      </c>
      <c r="C139" s="34" t="s">
        <v>343</v>
      </c>
      <c r="D139" s="35" t="s">
        <v>20</v>
      </c>
      <c r="E139" s="36">
        <v>45878</v>
      </c>
      <c r="F139" s="37">
        <v>45968</v>
      </c>
      <c r="G139" s="38"/>
      <c r="H139" s="75"/>
      <c r="I139" s="9" t="s">
        <v>21</v>
      </c>
      <c r="J139" s="32">
        <v>45866</v>
      </c>
      <c r="K139" s="32" t="s">
        <v>22</v>
      </c>
      <c r="L139" s="72">
        <v>749.18</v>
      </c>
      <c r="M139" s="72">
        <v>820</v>
      </c>
      <c r="N139" s="40"/>
      <c r="O139" s="71">
        <v>0.5</v>
      </c>
      <c r="P139" s="14">
        <f>Table2[[#This Row],[Sale Cost]]-Table2[[#This Row],[Fare Cost]]</f>
        <v>70.82000000000005</v>
      </c>
      <c r="Q139" s="162">
        <f>MONTH(Table2[[#This Row],[Issued date]])</f>
        <v>7</v>
      </c>
      <c r="R139" s="166"/>
      <c r="S139" s="162"/>
    </row>
    <row r="140" spans="2:19">
      <c r="B140" s="33" t="s">
        <v>344</v>
      </c>
      <c r="C140" s="34" t="s">
        <v>345</v>
      </c>
      <c r="D140" s="35" t="s">
        <v>89</v>
      </c>
      <c r="E140" s="36">
        <v>45883</v>
      </c>
      <c r="F140" s="37">
        <v>45943</v>
      </c>
      <c r="G140" s="38"/>
      <c r="H140" s="75"/>
      <c r="I140" s="9" t="s">
        <v>21</v>
      </c>
      <c r="J140" s="32">
        <v>45868</v>
      </c>
      <c r="K140" s="32" t="s">
        <v>22</v>
      </c>
      <c r="L140" s="72">
        <v>645.22</v>
      </c>
      <c r="M140" s="72">
        <v>695</v>
      </c>
      <c r="N140" s="40"/>
      <c r="O140" s="71">
        <v>1</v>
      </c>
      <c r="P140" s="14">
        <f>Table2[[#This Row],[Sale Cost]]-Table2[[#This Row],[Fare Cost]]</f>
        <v>49.779999999999973</v>
      </c>
      <c r="Q140" s="162">
        <f>MONTH(Table2[[#This Row],[Issued date]])</f>
        <v>7</v>
      </c>
      <c r="R140" s="166"/>
      <c r="S140" s="162"/>
    </row>
    <row r="141" spans="2:19">
      <c r="B141" s="33" t="s">
        <v>346</v>
      </c>
      <c r="C141" s="34" t="s">
        <v>347</v>
      </c>
      <c r="D141" s="35" t="s">
        <v>30</v>
      </c>
      <c r="E141" s="36">
        <v>45911</v>
      </c>
      <c r="F141" s="37"/>
      <c r="G141" s="38"/>
      <c r="H141" s="75"/>
      <c r="I141" s="9" t="s">
        <v>21</v>
      </c>
      <c r="J141" s="32">
        <v>45868</v>
      </c>
      <c r="K141" s="32" t="s">
        <v>22</v>
      </c>
      <c r="L141" s="72">
        <v>1275.28</v>
      </c>
      <c r="M141" s="72">
        <v>1500</v>
      </c>
      <c r="N141" s="40"/>
      <c r="O141" s="71">
        <v>4</v>
      </c>
      <c r="P141" s="14">
        <f>Table2[[#This Row],[Sale Cost]]-Table2[[#This Row],[Fare Cost]]</f>
        <v>224.72000000000003</v>
      </c>
      <c r="Q141" s="162">
        <f>MONTH(Table2[[#This Row],[Issued date]])</f>
        <v>7</v>
      </c>
      <c r="R141" s="166"/>
      <c r="S141" s="162"/>
    </row>
    <row r="142" spans="2:19">
      <c r="B142" s="33" t="s">
        <v>348</v>
      </c>
      <c r="C142" s="34" t="s">
        <v>349</v>
      </c>
      <c r="D142" s="35" t="s">
        <v>33</v>
      </c>
      <c r="E142" s="36">
        <v>45927</v>
      </c>
      <c r="F142" s="37">
        <v>45987</v>
      </c>
      <c r="G142" s="38"/>
      <c r="H142" s="75"/>
      <c r="I142" s="9" t="s">
        <v>21</v>
      </c>
      <c r="J142" s="32">
        <v>45869</v>
      </c>
      <c r="K142" s="32" t="s">
        <v>22</v>
      </c>
      <c r="L142" s="72">
        <v>615.32000000000005</v>
      </c>
      <c r="M142" s="72">
        <v>0</v>
      </c>
      <c r="N142" s="40"/>
      <c r="O142" s="71">
        <v>4</v>
      </c>
      <c r="P142" s="14">
        <f>Table2[[#This Row],[Sale Cost]]-Table2[[#This Row],[Fare Cost]]</f>
        <v>-615.32000000000005</v>
      </c>
      <c r="Q142" s="162">
        <f>MONTH(Table2[[#This Row],[Issued date]])</f>
        <v>7</v>
      </c>
      <c r="R142" s="166"/>
      <c r="S142" s="162"/>
    </row>
    <row r="143" spans="2:19">
      <c r="B143" s="33" t="s">
        <v>350</v>
      </c>
      <c r="C143" s="34" t="s">
        <v>351</v>
      </c>
      <c r="D143" s="35" t="s">
        <v>33</v>
      </c>
      <c r="E143" s="36">
        <v>45927</v>
      </c>
      <c r="F143" s="37">
        <v>45951</v>
      </c>
      <c r="G143" s="38"/>
      <c r="H143" s="75"/>
      <c r="I143" s="9" t="s">
        <v>21</v>
      </c>
      <c r="J143" s="32">
        <v>45869</v>
      </c>
      <c r="K143" s="32" t="s">
        <v>22</v>
      </c>
      <c r="L143" s="72">
        <v>615.32000000000005</v>
      </c>
      <c r="M143" s="72">
        <v>0</v>
      </c>
      <c r="N143" s="40"/>
      <c r="O143" s="71">
        <f>0.5*2</f>
        <v>1</v>
      </c>
      <c r="P143" s="14">
        <f>Table2[[#This Row],[Sale Cost]]-Table2[[#This Row],[Fare Cost]]</f>
        <v>-615.32000000000005</v>
      </c>
      <c r="Q143" s="162">
        <f>MONTH(Table2[[#This Row],[Issued date]])</f>
        <v>7</v>
      </c>
      <c r="R143" s="166"/>
      <c r="S143" s="162"/>
    </row>
    <row r="144" spans="2:19">
      <c r="B144" s="33" t="s">
        <v>350</v>
      </c>
      <c r="C144" s="34" t="s">
        <v>352</v>
      </c>
      <c r="D144" s="35" t="s">
        <v>233</v>
      </c>
      <c r="E144" s="36">
        <v>45935</v>
      </c>
      <c r="F144" s="37"/>
      <c r="G144" s="38"/>
      <c r="H144" s="75"/>
      <c r="I144" s="9" t="s">
        <v>21</v>
      </c>
      <c r="J144" s="32">
        <v>45869</v>
      </c>
      <c r="K144" s="32" t="s">
        <v>22</v>
      </c>
      <c r="L144" s="72">
        <v>145</v>
      </c>
      <c r="M144" s="72">
        <v>0</v>
      </c>
      <c r="N144" s="40"/>
      <c r="O144" s="71">
        <v>6</v>
      </c>
      <c r="P144" s="14">
        <f>Table2[[#This Row],[Sale Cost]]-Table2[[#This Row],[Fare Cost]]</f>
        <v>-145</v>
      </c>
      <c r="Q144" s="162">
        <f>MONTH(Table2[[#This Row],[Issued date]])</f>
        <v>7</v>
      </c>
      <c r="R144" s="166"/>
      <c r="S144" s="162"/>
    </row>
    <row r="145" spans="2:19" s="86" customFormat="1">
      <c r="B145" s="99" t="s">
        <v>353</v>
      </c>
      <c r="C145" s="100" t="s">
        <v>354</v>
      </c>
      <c r="D145" s="101" t="s">
        <v>33</v>
      </c>
      <c r="E145" s="102">
        <v>45927</v>
      </c>
      <c r="F145" s="103">
        <v>45788</v>
      </c>
      <c r="G145" s="104"/>
      <c r="H145" s="124"/>
      <c r="I145" s="93" t="s">
        <v>21</v>
      </c>
      <c r="J145" s="106">
        <v>45871</v>
      </c>
      <c r="K145" s="106" t="s">
        <v>22</v>
      </c>
      <c r="L145" s="107">
        <v>535.79999999999995</v>
      </c>
      <c r="M145" s="107">
        <v>595</v>
      </c>
      <c r="N145" s="108"/>
      <c r="O145" s="109">
        <v>0.5</v>
      </c>
      <c r="P145" s="110">
        <f>Table2[[#This Row],[Sale Cost]]-Table2[[#This Row],[Fare Cost]]</f>
        <v>59.200000000000045</v>
      </c>
      <c r="Q145" s="163">
        <f>MONTH(Table2[[#This Row],[Issued date]])</f>
        <v>8</v>
      </c>
      <c r="R145" s="173" t="s">
        <v>355</v>
      </c>
      <c r="S145" s="163"/>
    </row>
    <row r="146" spans="2:19">
      <c r="B146" s="33" t="s">
        <v>353</v>
      </c>
      <c r="C146" s="34" t="s">
        <v>356</v>
      </c>
      <c r="D146" s="35" t="s">
        <v>33</v>
      </c>
      <c r="E146" s="36">
        <v>45935</v>
      </c>
      <c r="F146" s="37"/>
      <c r="G146" s="38"/>
      <c r="H146" s="75"/>
      <c r="I146" s="9" t="s">
        <v>21</v>
      </c>
      <c r="J146" s="32">
        <v>45871</v>
      </c>
      <c r="K146" s="32" t="s">
        <v>22</v>
      </c>
      <c r="L146" s="72">
        <v>146.19999999999999</v>
      </c>
      <c r="M146" s="72">
        <v>149</v>
      </c>
      <c r="N146" s="40"/>
      <c r="O146" s="71">
        <v>0</v>
      </c>
      <c r="P146" s="14">
        <f>Table2[[#This Row],[Sale Cost]]-Table2[[#This Row],[Fare Cost]]</f>
        <v>2.8000000000000114</v>
      </c>
      <c r="Q146" s="162">
        <f>MONTH(Table2[[#This Row],[Issued date]])</f>
        <v>8</v>
      </c>
      <c r="R146" s="174" t="s">
        <v>355</v>
      </c>
      <c r="S146" s="162"/>
    </row>
    <row r="147" spans="2:19">
      <c r="B147" s="33" t="s">
        <v>357</v>
      </c>
      <c r="C147" s="34" t="s">
        <v>358</v>
      </c>
      <c r="D147" s="35" t="s">
        <v>359</v>
      </c>
      <c r="E147" s="36">
        <v>45951</v>
      </c>
      <c r="F147" s="37">
        <v>45961</v>
      </c>
      <c r="G147" s="38"/>
      <c r="H147" s="75"/>
      <c r="I147" s="9" t="s">
        <v>21</v>
      </c>
      <c r="J147" s="32">
        <v>45875</v>
      </c>
      <c r="K147" s="32" t="s">
        <v>22</v>
      </c>
      <c r="L147" s="72">
        <v>2565.36</v>
      </c>
      <c r="N147" s="40"/>
      <c r="O147" s="71">
        <v>3</v>
      </c>
      <c r="P147" s="14">
        <f>Table2[[#This Row],[Sale Cost]]-Table2[[#This Row],[Fare Cost]]</f>
        <v>-2565.36</v>
      </c>
      <c r="Q147" s="162">
        <f>MONTH(Table2[[#This Row],[Issued date]])</f>
        <v>8</v>
      </c>
      <c r="R147" s="174" t="s">
        <v>355</v>
      </c>
      <c r="S147" s="162"/>
    </row>
    <row r="148" spans="2:19">
      <c r="B148" s="33" t="s">
        <v>360</v>
      </c>
      <c r="C148" s="34" t="s">
        <v>361</v>
      </c>
      <c r="D148" s="35" t="s">
        <v>26</v>
      </c>
      <c r="E148" s="36">
        <v>45893</v>
      </c>
      <c r="F148" s="37"/>
      <c r="G148" s="38"/>
      <c r="H148" s="75"/>
      <c r="I148" s="9" t="s">
        <v>21</v>
      </c>
      <c r="J148" s="32">
        <v>45876</v>
      </c>
      <c r="K148" s="32" t="s">
        <v>22</v>
      </c>
      <c r="L148" s="72">
        <v>1100.42</v>
      </c>
      <c r="M148" s="72">
        <v>1200</v>
      </c>
      <c r="N148" s="40"/>
      <c r="O148" s="71">
        <v>3</v>
      </c>
      <c r="P148" s="14">
        <f>Table2[[#This Row],[Sale Cost]]-Table2[[#This Row],[Fare Cost]]</f>
        <v>99.579999999999927</v>
      </c>
      <c r="Q148" s="162">
        <f>MONTH(Table2[[#This Row],[Issued date]])</f>
        <v>8</v>
      </c>
      <c r="R148" s="174"/>
      <c r="S148" s="162"/>
    </row>
    <row r="149" spans="2:19">
      <c r="B149" s="33" t="s">
        <v>362</v>
      </c>
      <c r="C149" s="34" t="s">
        <v>363</v>
      </c>
      <c r="D149" s="35" t="s">
        <v>33</v>
      </c>
      <c r="E149" s="36">
        <v>45940</v>
      </c>
      <c r="F149" s="37">
        <v>45976</v>
      </c>
      <c r="G149" s="38"/>
      <c r="H149" s="75"/>
      <c r="I149" s="9" t="s">
        <v>21</v>
      </c>
      <c r="J149" s="32">
        <v>45876</v>
      </c>
      <c r="K149" s="32" t="s">
        <v>22</v>
      </c>
      <c r="L149" s="72">
        <v>2587.7199999999998</v>
      </c>
      <c r="M149" s="72">
        <v>2750</v>
      </c>
      <c r="N149" s="40"/>
      <c r="O149" s="71">
        <v>3</v>
      </c>
      <c r="P149" s="14">
        <f>Table2[[#This Row],[Sale Cost]]-Table2[[#This Row],[Fare Cost]]</f>
        <v>162.2800000000002</v>
      </c>
      <c r="Q149" s="162">
        <f>MONTH(Table2[[#This Row],[Issued date]])</f>
        <v>8</v>
      </c>
      <c r="R149" s="174" t="s">
        <v>355</v>
      </c>
      <c r="S149" s="162"/>
    </row>
    <row r="150" spans="2:19">
      <c r="B150" s="33" t="s">
        <v>362</v>
      </c>
      <c r="C150" s="34" t="s">
        <v>363</v>
      </c>
      <c r="D150" s="35" t="s">
        <v>33</v>
      </c>
      <c r="E150" s="36"/>
      <c r="F150" s="37">
        <v>45946</v>
      </c>
      <c r="G150" s="38"/>
      <c r="H150" s="75"/>
      <c r="I150" s="9" t="s">
        <v>21</v>
      </c>
      <c r="J150" s="32">
        <v>45876</v>
      </c>
      <c r="K150" s="32" t="s">
        <v>22</v>
      </c>
      <c r="L150" s="72">
        <v>754.8</v>
      </c>
      <c r="N150" s="40"/>
      <c r="O150" s="71">
        <v>0</v>
      </c>
      <c r="P150" s="14">
        <f>Table2[[#This Row],[Sale Cost]]-Table2[[#This Row],[Fare Cost]]</f>
        <v>-754.8</v>
      </c>
      <c r="Q150" s="162">
        <f>MONTH(Table2[[#This Row],[Issued date]])</f>
        <v>8</v>
      </c>
      <c r="R150" s="174" t="s">
        <v>355</v>
      </c>
      <c r="S150" s="162"/>
    </row>
    <row r="151" spans="2:19">
      <c r="B151" s="33" t="s">
        <v>364</v>
      </c>
      <c r="C151" s="34" t="s">
        <v>365</v>
      </c>
      <c r="D151" s="35" t="s">
        <v>20</v>
      </c>
      <c r="E151" s="36">
        <v>45894</v>
      </c>
      <c r="F151" s="37">
        <v>45953</v>
      </c>
      <c r="G151" s="38"/>
      <c r="H151" s="75"/>
      <c r="I151" s="9" t="s">
        <v>21</v>
      </c>
      <c r="J151" s="32">
        <v>45877</v>
      </c>
      <c r="K151" s="32" t="s">
        <v>22</v>
      </c>
      <c r="L151" s="72">
        <v>788.28</v>
      </c>
      <c r="M151" s="72">
        <v>850</v>
      </c>
      <c r="N151" s="40" t="s">
        <v>141</v>
      </c>
      <c r="O151" s="71">
        <v>1</v>
      </c>
      <c r="P151" s="14">
        <f>Table2[[#This Row],[Sale Cost]]-Table2[[#This Row],[Fare Cost]]</f>
        <v>61.720000000000027</v>
      </c>
      <c r="Q151" s="162">
        <f>MONTH(Table2[[#This Row],[Issued date]])</f>
        <v>8</v>
      </c>
      <c r="R151" s="174"/>
      <c r="S151" s="162"/>
    </row>
    <row r="152" spans="2:19">
      <c r="B152" s="33" t="s">
        <v>366</v>
      </c>
      <c r="C152" s="34" t="s">
        <v>367</v>
      </c>
      <c r="D152" s="35" t="s">
        <v>20</v>
      </c>
      <c r="E152" s="36">
        <v>45894</v>
      </c>
      <c r="F152" s="37">
        <v>45937</v>
      </c>
      <c r="G152" s="38"/>
      <c r="H152" s="75"/>
      <c r="I152" s="9" t="s">
        <v>21</v>
      </c>
      <c r="J152" s="32">
        <v>45877</v>
      </c>
      <c r="K152" s="32" t="s">
        <v>22</v>
      </c>
      <c r="L152" s="72">
        <v>788.28</v>
      </c>
      <c r="M152" s="72">
        <v>850</v>
      </c>
      <c r="N152" s="40" t="s">
        <v>368</v>
      </c>
      <c r="O152" s="71">
        <v>1</v>
      </c>
      <c r="P152" s="14">
        <f>Table2[[#This Row],[Sale Cost]]-Table2[[#This Row],[Fare Cost]]</f>
        <v>61.720000000000027</v>
      </c>
      <c r="Q152" s="162">
        <f>MONTH(Table2[[#This Row],[Issued date]])</f>
        <v>8</v>
      </c>
      <c r="R152" s="174"/>
      <c r="S152" s="162"/>
    </row>
    <row r="153" spans="2:19">
      <c r="B153" s="33" t="s">
        <v>369</v>
      </c>
      <c r="C153" s="34" t="s">
        <v>370</v>
      </c>
      <c r="D153" s="35" t="s">
        <v>20</v>
      </c>
      <c r="E153" s="36">
        <v>45894</v>
      </c>
      <c r="F153" s="37">
        <v>45985</v>
      </c>
      <c r="G153" s="38"/>
      <c r="H153" s="75"/>
      <c r="I153" s="9" t="s">
        <v>21</v>
      </c>
      <c r="J153" s="32">
        <v>45877</v>
      </c>
      <c r="K153" s="32" t="s">
        <v>22</v>
      </c>
      <c r="L153" s="72">
        <v>788.28</v>
      </c>
      <c r="M153" s="72">
        <v>850</v>
      </c>
      <c r="N153" s="40" t="s">
        <v>371</v>
      </c>
      <c r="O153" s="71">
        <v>1</v>
      </c>
      <c r="P153" s="14">
        <f>Table2[[#This Row],[Sale Cost]]-Table2[[#This Row],[Fare Cost]]</f>
        <v>61.720000000000027</v>
      </c>
      <c r="Q153" s="162">
        <f>MONTH(Table2[[#This Row],[Issued date]])</f>
        <v>8</v>
      </c>
      <c r="R153" s="174"/>
      <c r="S153" s="162"/>
    </row>
    <row r="154" spans="2:19">
      <c r="B154" s="33" t="s">
        <v>132</v>
      </c>
      <c r="C154" s="34" t="s">
        <v>372</v>
      </c>
      <c r="D154" s="35" t="s">
        <v>30</v>
      </c>
      <c r="E154" s="36">
        <v>45941</v>
      </c>
      <c r="F154" s="37">
        <v>45956</v>
      </c>
      <c r="G154" s="38"/>
      <c r="H154" s="75"/>
      <c r="I154" s="9" t="s">
        <v>21</v>
      </c>
      <c r="J154" s="32">
        <v>45879</v>
      </c>
      <c r="K154" s="32" t="s">
        <v>22</v>
      </c>
      <c r="L154" s="72">
        <v>1139.24</v>
      </c>
      <c r="M154" s="72">
        <v>1190</v>
      </c>
      <c r="N154" s="40"/>
      <c r="O154" s="71">
        <v>2</v>
      </c>
      <c r="P154" s="14">
        <f>Table2[[#This Row],[Sale Cost]]-Table2[[#This Row],[Fare Cost]]</f>
        <v>50.759999999999991</v>
      </c>
      <c r="Q154" s="162">
        <f>MONTH(Table2[[#This Row],[Issued date]])</f>
        <v>8</v>
      </c>
      <c r="R154" s="174"/>
      <c r="S154" s="162"/>
    </row>
    <row r="155" spans="2:19">
      <c r="B155" s="33" t="s">
        <v>373</v>
      </c>
      <c r="C155" s="34" t="s">
        <v>374</v>
      </c>
      <c r="D155" s="35" t="s">
        <v>30</v>
      </c>
      <c r="E155" s="36">
        <v>45941</v>
      </c>
      <c r="F155" s="37">
        <v>45968</v>
      </c>
      <c r="G155" s="38"/>
      <c r="H155" s="75"/>
      <c r="I155" s="9" t="s">
        <v>21</v>
      </c>
      <c r="J155" s="32">
        <v>45879</v>
      </c>
      <c r="K155" s="32" t="s">
        <v>22</v>
      </c>
      <c r="L155" s="72">
        <v>1912.48</v>
      </c>
      <c r="M155" s="72">
        <v>2080</v>
      </c>
      <c r="N155" s="40"/>
      <c r="O155" s="71">
        <v>4</v>
      </c>
      <c r="P155" s="14">
        <f>Table2[[#This Row],[Sale Cost]]-Table2[[#This Row],[Fare Cost]]</f>
        <v>167.51999999999998</v>
      </c>
      <c r="Q155" s="162">
        <f>MONTH(Table2[[#This Row],[Issued date]])</f>
        <v>8</v>
      </c>
      <c r="R155" s="174"/>
      <c r="S155" s="162"/>
    </row>
    <row r="156" spans="2:19">
      <c r="B156" s="33" t="s">
        <v>375</v>
      </c>
      <c r="C156" s="34" t="s">
        <v>376</v>
      </c>
      <c r="D156" s="35" t="s">
        <v>26</v>
      </c>
      <c r="E156" s="36">
        <v>45895</v>
      </c>
      <c r="F156" s="37"/>
      <c r="G156" s="38"/>
      <c r="H156" s="75"/>
      <c r="I156" s="9" t="s">
        <v>21</v>
      </c>
      <c r="J156" s="32">
        <v>45882</v>
      </c>
      <c r="K156" s="32" t="s">
        <v>22</v>
      </c>
      <c r="L156" s="72">
        <v>334.32</v>
      </c>
      <c r="M156" s="72">
        <v>385</v>
      </c>
      <c r="N156" s="40" t="s">
        <v>377</v>
      </c>
      <c r="O156" s="71">
        <v>1</v>
      </c>
      <c r="P156" s="14">
        <f>Table2[[#This Row],[Sale Cost]]-Table2[[#This Row],[Fare Cost]]</f>
        <v>50.680000000000007</v>
      </c>
      <c r="Q156" s="162">
        <f>MONTH(Table2[[#This Row],[Issued date]])</f>
        <v>8</v>
      </c>
      <c r="R156" s="174"/>
      <c r="S156" s="162"/>
    </row>
    <row r="157" spans="2:19">
      <c r="B157" s="33" t="s">
        <v>378</v>
      </c>
      <c r="C157" s="34" t="s">
        <v>379</v>
      </c>
      <c r="D157" s="35" t="s">
        <v>30</v>
      </c>
      <c r="E157" s="36">
        <v>45916</v>
      </c>
      <c r="F157" s="37">
        <v>46007</v>
      </c>
      <c r="G157" s="38"/>
      <c r="H157" s="75"/>
      <c r="I157" s="9" t="s">
        <v>21</v>
      </c>
      <c r="J157" s="32">
        <v>45883</v>
      </c>
      <c r="K157" s="32" t="s">
        <v>22</v>
      </c>
      <c r="L157" s="72">
        <v>549.22</v>
      </c>
      <c r="M157" s="72">
        <v>625</v>
      </c>
      <c r="N157" s="40"/>
      <c r="O157" s="71">
        <v>1</v>
      </c>
      <c r="P157" s="14">
        <f>Table2[[#This Row],[Sale Cost]]-Table2[[#This Row],[Fare Cost]]</f>
        <v>75.779999999999973</v>
      </c>
      <c r="Q157" s="162">
        <f>MONTH(Table2[[#This Row],[Issued date]])</f>
        <v>8</v>
      </c>
      <c r="R157" s="174"/>
      <c r="S157" s="162"/>
    </row>
    <row r="158" spans="2:19">
      <c r="B158" s="33" t="s">
        <v>380</v>
      </c>
      <c r="C158" s="34" t="s">
        <v>381</v>
      </c>
      <c r="D158" s="35" t="s">
        <v>30</v>
      </c>
      <c r="E158" s="36">
        <v>45897</v>
      </c>
      <c r="F158" s="37">
        <v>45928</v>
      </c>
      <c r="G158" s="38"/>
      <c r="H158" s="75"/>
      <c r="I158" s="9" t="s">
        <v>21</v>
      </c>
      <c r="J158" s="32">
        <v>45883</v>
      </c>
      <c r="K158" s="32" t="s">
        <v>22</v>
      </c>
      <c r="L158" s="72">
        <v>563.22</v>
      </c>
      <c r="M158" s="72">
        <v>625</v>
      </c>
      <c r="N158" s="40" t="s">
        <v>382</v>
      </c>
      <c r="O158" s="71">
        <v>1</v>
      </c>
      <c r="P158" s="14">
        <f>Table2[[#This Row],[Sale Cost]]-Table2[[#This Row],[Fare Cost]]</f>
        <v>61.779999999999973</v>
      </c>
      <c r="Q158" s="162">
        <f>MONTH(Table2[[#This Row],[Issued date]])</f>
        <v>8</v>
      </c>
      <c r="R158" s="174"/>
      <c r="S158" s="162"/>
    </row>
    <row r="159" spans="2:19">
      <c r="B159" s="33" t="s">
        <v>383</v>
      </c>
      <c r="C159" s="34" t="s">
        <v>384</v>
      </c>
      <c r="D159" s="35" t="s">
        <v>26</v>
      </c>
      <c r="E159" s="36">
        <v>45883</v>
      </c>
      <c r="F159" s="37">
        <v>45904</v>
      </c>
      <c r="G159" s="38"/>
      <c r="H159" s="75"/>
      <c r="I159" s="9" t="s">
        <v>21</v>
      </c>
      <c r="J159" s="32">
        <v>45882</v>
      </c>
      <c r="K159" s="32" t="s">
        <v>22</v>
      </c>
      <c r="L159" s="72">
        <v>1167.32</v>
      </c>
      <c r="M159" s="72">
        <v>1295</v>
      </c>
      <c r="N159" s="40" t="s">
        <v>385</v>
      </c>
      <c r="O159" s="71">
        <v>1</v>
      </c>
      <c r="P159" s="14">
        <f>Table2[[#This Row],[Sale Cost]]-Table2[[#This Row],[Fare Cost]]</f>
        <v>127.68000000000006</v>
      </c>
      <c r="Q159" s="162">
        <f>MONTH(Table2[[#This Row],[Issued date]])</f>
        <v>8</v>
      </c>
      <c r="R159" s="174"/>
      <c r="S159" s="162"/>
    </row>
    <row r="160" spans="2:19">
      <c r="B160" s="33" t="s">
        <v>386</v>
      </c>
      <c r="C160" s="34" t="s">
        <v>387</v>
      </c>
      <c r="D160" s="35" t="s">
        <v>26</v>
      </c>
      <c r="E160" s="36">
        <v>45883</v>
      </c>
      <c r="F160" s="37">
        <v>45904</v>
      </c>
      <c r="G160" s="38"/>
      <c r="H160" s="75"/>
      <c r="I160" s="9" t="s">
        <v>21</v>
      </c>
      <c r="J160" s="32">
        <v>45882</v>
      </c>
      <c r="K160" s="32" t="s">
        <v>22</v>
      </c>
      <c r="L160" s="72">
        <v>966.32</v>
      </c>
      <c r="M160" s="72">
        <v>1045</v>
      </c>
      <c r="N160" s="40" t="s">
        <v>385</v>
      </c>
      <c r="O160" s="71">
        <v>1</v>
      </c>
      <c r="P160" s="14">
        <f>Table2[[#This Row],[Sale Cost]]-Table2[[#This Row],[Fare Cost]]</f>
        <v>78.67999999999995</v>
      </c>
      <c r="Q160" s="162">
        <f>MONTH(Table2[[#This Row],[Issued date]])</f>
        <v>8</v>
      </c>
      <c r="R160" s="174"/>
      <c r="S160" s="162"/>
    </row>
    <row r="161" spans="2:19">
      <c r="B161" s="33" t="s">
        <v>311</v>
      </c>
      <c r="C161" s="34" t="s">
        <v>388</v>
      </c>
      <c r="D161" s="35" t="s">
        <v>20</v>
      </c>
      <c r="E161" s="36">
        <v>45909</v>
      </c>
      <c r="F161" s="37"/>
      <c r="G161" s="38"/>
      <c r="H161" s="75"/>
      <c r="I161" s="9" t="s">
        <v>21</v>
      </c>
      <c r="J161" s="32">
        <v>45882</v>
      </c>
      <c r="K161" s="32" t="s">
        <v>22</v>
      </c>
      <c r="L161" s="72">
        <v>504.3</v>
      </c>
      <c r="M161" s="72">
        <v>575</v>
      </c>
      <c r="N161" s="40" t="s">
        <v>389</v>
      </c>
      <c r="O161" s="71">
        <v>1</v>
      </c>
      <c r="P161" s="14">
        <f>Table2[[#This Row],[Sale Cost]]-Table2[[#This Row],[Fare Cost]]</f>
        <v>70.699999999999989</v>
      </c>
      <c r="Q161" s="162">
        <f>MONTH(Table2[[#This Row],[Issued date]])</f>
        <v>8</v>
      </c>
      <c r="R161" s="174"/>
      <c r="S161" s="162"/>
    </row>
    <row r="162" spans="2:19" s="50" customFormat="1">
      <c r="B162" s="33" t="s">
        <v>390</v>
      </c>
      <c r="C162" s="34" t="s">
        <v>391</v>
      </c>
      <c r="D162" s="35" t="s">
        <v>392</v>
      </c>
      <c r="E162" s="36">
        <v>45884</v>
      </c>
      <c r="F162" s="37"/>
      <c r="G162" s="38"/>
      <c r="H162" s="75"/>
      <c r="I162" s="9" t="s">
        <v>21</v>
      </c>
      <c r="J162" s="32">
        <v>45884</v>
      </c>
      <c r="K162" s="32" t="s">
        <v>22</v>
      </c>
      <c r="L162" s="72">
        <v>2276.52</v>
      </c>
      <c r="M162" s="72">
        <v>2700</v>
      </c>
      <c r="N162" s="40" t="s">
        <v>393</v>
      </c>
      <c r="O162" s="71">
        <v>6</v>
      </c>
      <c r="P162" s="14">
        <f>Table2[[#This Row],[Sale Cost]]-Table2[[#This Row],[Fare Cost]]</f>
        <v>423.48</v>
      </c>
      <c r="Q162" s="162">
        <f>MONTH(Table2[[#This Row],[Issued date]])</f>
        <v>8</v>
      </c>
      <c r="R162" s="174" t="s">
        <v>355</v>
      </c>
      <c r="S162" s="162"/>
    </row>
    <row r="163" spans="2:19">
      <c r="B163" s="33" t="s">
        <v>394</v>
      </c>
      <c r="C163" s="34" t="s">
        <v>395</v>
      </c>
      <c r="D163" s="35" t="s">
        <v>33</v>
      </c>
      <c r="E163" s="36">
        <v>45913</v>
      </c>
      <c r="F163" s="37">
        <v>45934</v>
      </c>
      <c r="G163" s="38"/>
      <c r="H163" s="75"/>
      <c r="I163" s="9" t="s">
        <v>21</v>
      </c>
      <c r="J163" s="32">
        <v>45885</v>
      </c>
      <c r="K163" s="32" t="s">
        <v>22</v>
      </c>
      <c r="L163" s="72">
        <v>1123.6400000000001</v>
      </c>
      <c r="M163" s="72">
        <v>1230</v>
      </c>
      <c r="N163" s="40" t="s">
        <v>396</v>
      </c>
      <c r="O163" s="71">
        <v>2</v>
      </c>
      <c r="P163" s="14">
        <f>Table2[[#This Row],[Sale Cost]]-Table2[[#This Row],[Fare Cost]]</f>
        <v>106.3599999999999</v>
      </c>
      <c r="Q163" s="162">
        <f>MONTH(Table2[[#This Row],[Issued date]])</f>
        <v>8</v>
      </c>
      <c r="R163" s="174"/>
      <c r="S163" s="162"/>
    </row>
    <row r="164" spans="2:19">
      <c r="B164" s="33" t="s">
        <v>397</v>
      </c>
      <c r="C164" s="34" t="s">
        <v>398</v>
      </c>
      <c r="D164" s="35" t="s">
        <v>33</v>
      </c>
      <c r="E164" s="36">
        <v>45905</v>
      </c>
      <c r="F164" s="37">
        <v>45916</v>
      </c>
      <c r="G164" s="38"/>
      <c r="H164" s="75"/>
      <c r="I164" s="9" t="s">
        <v>21</v>
      </c>
      <c r="J164" s="32">
        <v>45890</v>
      </c>
      <c r="K164" s="32" t="s">
        <v>22</v>
      </c>
      <c r="L164" s="72">
        <v>596.02</v>
      </c>
      <c r="M164" s="72">
        <v>665</v>
      </c>
      <c r="N164" s="40" t="s">
        <v>399</v>
      </c>
      <c r="O164" s="71">
        <v>1</v>
      </c>
      <c r="P164" s="14">
        <f>Table2[[#This Row],[Sale Cost]]-Table2[[#This Row],[Fare Cost]]</f>
        <v>68.980000000000018</v>
      </c>
      <c r="Q164" s="162">
        <f>MONTH(Table2[[#This Row],[Issued date]])</f>
        <v>8</v>
      </c>
      <c r="R164" s="174"/>
      <c r="S164" s="162"/>
    </row>
    <row r="165" spans="2:19">
      <c r="B165" s="33" t="s">
        <v>400</v>
      </c>
      <c r="C165" s="34" t="s">
        <v>401</v>
      </c>
      <c r="D165" s="35" t="s">
        <v>20</v>
      </c>
      <c r="E165" s="36">
        <v>45972</v>
      </c>
      <c r="F165" s="37">
        <v>46013</v>
      </c>
      <c r="G165" s="38"/>
      <c r="H165" s="75"/>
      <c r="I165" s="9" t="s">
        <v>21</v>
      </c>
      <c r="J165" s="32">
        <v>45893</v>
      </c>
      <c r="K165" s="32" t="s">
        <v>22</v>
      </c>
      <c r="L165" s="72">
        <v>1503.96</v>
      </c>
      <c r="M165" s="72">
        <v>1670</v>
      </c>
      <c r="N165" s="40" t="s">
        <v>402</v>
      </c>
      <c r="O165" s="71">
        <v>2</v>
      </c>
      <c r="P165" s="14">
        <f>Table2[[#This Row],[Sale Cost]]-Table2[[#This Row],[Fare Cost]]</f>
        <v>166.03999999999996</v>
      </c>
      <c r="Q165" s="162">
        <f>MONTH(Table2[[#This Row],[Issued date]])</f>
        <v>8</v>
      </c>
      <c r="R165" s="174"/>
      <c r="S165" s="162"/>
    </row>
    <row r="166" spans="2:19">
      <c r="B166" s="33" t="s">
        <v>403</v>
      </c>
      <c r="C166" s="34" t="s">
        <v>404</v>
      </c>
      <c r="D166" s="35" t="s">
        <v>20</v>
      </c>
      <c r="E166" s="36">
        <v>45933</v>
      </c>
      <c r="F166" s="37">
        <v>45972</v>
      </c>
      <c r="G166" s="38"/>
      <c r="H166" s="75"/>
      <c r="I166" s="9" t="s">
        <v>21</v>
      </c>
      <c r="J166" s="32">
        <v>45894</v>
      </c>
      <c r="K166" s="32" t="s">
        <v>22</v>
      </c>
      <c r="L166" s="72">
        <v>683.48</v>
      </c>
      <c r="M166" s="72">
        <v>740</v>
      </c>
      <c r="N166" s="40" t="s">
        <v>405</v>
      </c>
      <c r="O166" s="71">
        <v>1</v>
      </c>
      <c r="P166" s="14">
        <f>Table2[[#This Row],[Sale Cost]]-Table2[[#This Row],[Fare Cost]]</f>
        <v>56.519999999999982</v>
      </c>
      <c r="Q166" s="162">
        <f>MONTH(Table2[[#This Row],[Issued date]])</f>
        <v>8</v>
      </c>
      <c r="R166" s="174"/>
      <c r="S166" s="162"/>
    </row>
    <row r="167" spans="2:19">
      <c r="B167" s="33" t="s">
        <v>406</v>
      </c>
      <c r="C167" s="34" t="s">
        <v>407</v>
      </c>
      <c r="D167" s="35" t="s">
        <v>20</v>
      </c>
      <c r="E167" s="36">
        <v>45933</v>
      </c>
      <c r="F167" s="37">
        <v>45976</v>
      </c>
      <c r="G167" s="38"/>
      <c r="H167" s="75"/>
      <c r="I167" s="9" t="s">
        <v>21</v>
      </c>
      <c r="J167" s="32">
        <v>45894</v>
      </c>
      <c r="K167" s="32" t="s">
        <v>22</v>
      </c>
      <c r="L167" s="72">
        <v>709.48</v>
      </c>
      <c r="M167" s="72">
        <v>770</v>
      </c>
      <c r="N167" s="40" t="s">
        <v>405</v>
      </c>
      <c r="O167" s="71">
        <v>1</v>
      </c>
      <c r="P167" s="14">
        <f>Table2[[#This Row],[Sale Cost]]-Table2[[#This Row],[Fare Cost]]</f>
        <v>60.519999999999982</v>
      </c>
      <c r="Q167" s="162">
        <f>MONTH(Table2[[#This Row],[Issued date]])</f>
        <v>8</v>
      </c>
      <c r="R167" s="174"/>
      <c r="S167" s="162"/>
    </row>
    <row r="168" spans="2:19">
      <c r="B168" s="33" t="s">
        <v>408</v>
      </c>
      <c r="C168" s="77" t="s">
        <v>409</v>
      </c>
      <c r="D168" s="35" t="s">
        <v>20</v>
      </c>
      <c r="E168" s="36">
        <v>45933</v>
      </c>
      <c r="F168" s="37">
        <v>45990</v>
      </c>
      <c r="G168" s="38"/>
      <c r="H168" s="75"/>
      <c r="I168" s="9" t="s">
        <v>21</v>
      </c>
      <c r="J168" s="32">
        <v>45894</v>
      </c>
      <c r="K168" s="32" t="s">
        <v>22</v>
      </c>
      <c r="L168" s="72">
        <v>1718.52</v>
      </c>
      <c r="M168" s="72">
        <v>1920</v>
      </c>
      <c r="N168" s="40" t="s">
        <v>405</v>
      </c>
      <c r="O168" s="71">
        <v>4</v>
      </c>
      <c r="P168" s="14">
        <f>Table2[[#This Row],[Sale Cost]]-Table2[[#This Row],[Fare Cost]]</f>
        <v>201.48000000000002</v>
      </c>
      <c r="Q168" s="162">
        <f>MONTH(Table2[[#This Row],[Issued date]])</f>
        <v>8</v>
      </c>
      <c r="R168" s="174"/>
      <c r="S168" s="162"/>
    </row>
    <row r="169" spans="2:19">
      <c r="B169" s="33" t="s">
        <v>410</v>
      </c>
      <c r="C169" s="77" t="s">
        <v>411</v>
      </c>
      <c r="D169" s="35" t="s">
        <v>20</v>
      </c>
      <c r="E169" s="36">
        <v>45943</v>
      </c>
      <c r="F169" s="37">
        <v>45955</v>
      </c>
      <c r="G169" s="38"/>
      <c r="H169" s="75"/>
      <c r="I169" s="9" t="s">
        <v>21</v>
      </c>
      <c r="J169" s="32">
        <v>45897</v>
      </c>
      <c r="K169" s="32" t="s">
        <v>22</v>
      </c>
      <c r="L169" s="72">
        <v>583.88</v>
      </c>
      <c r="M169" s="72">
        <v>695</v>
      </c>
      <c r="N169" s="40" t="s">
        <v>116</v>
      </c>
      <c r="O169" s="71">
        <v>1</v>
      </c>
      <c r="P169" s="14">
        <f>Table2[[#This Row],[Sale Cost]]-Table2[[#This Row],[Fare Cost]]</f>
        <v>111.12</v>
      </c>
      <c r="Q169" s="162">
        <f>MONTH(Table2[[#This Row],[Issued date]])</f>
        <v>8</v>
      </c>
      <c r="R169" s="174"/>
      <c r="S169" s="162"/>
    </row>
    <row r="170" spans="2:19">
      <c r="B170" s="33" t="s">
        <v>412</v>
      </c>
      <c r="C170" s="77" t="s">
        <v>413</v>
      </c>
      <c r="D170" s="35" t="s">
        <v>30</v>
      </c>
      <c r="E170" s="36">
        <v>45900</v>
      </c>
      <c r="F170" s="37">
        <v>45665</v>
      </c>
      <c r="G170" s="38"/>
      <c r="H170" s="75"/>
      <c r="I170" s="9" t="s">
        <v>21</v>
      </c>
      <c r="J170" s="32">
        <v>45897</v>
      </c>
      <c r="K170" s="32" t="s">
        <v>22</v>
      </c>
      <c r="L170" s="72">
        <v>1520.42</v>
      </c>
      <c r="M170" s="72">
        <v>1600</v>
      </c>
      <c r="N170" s="40" t="s">
        <v>116</v>
      </c>
      <c r="O170" s="71">
        <v>1</v>
      </c>
      <c r="P170" s="14">
        <f>Table2[[#This Row],[Sale Cost]]-Table2[[#This Row],[Fare Cost]]</f>
        <v>79.579999999999927</v>
      </c>
      <c r="Q170" s="162">
        <f>MONTH(Table2[[#This Row],[Issued date]])</f>
        <v>8</v>
      </c>
      <c r="R170" s="174"/>
      <c r="S170" s="162"/>
    </row>
    <row r="171" spans="2:19">
      <c r="B171" s="33" t="s">
        <v>414</v>
      </c>
      <c r="C171" s="77" t="s">
        <v>415</v>
      </c>
      <c r="D171" s="35" t="s">
        <v>20</v>
      </c>
      <c r="E171" s="36">
        <v>45901</v>
      </c>
      <c r="F171" s="37">
        <v>45927</v>
      </c>
      <c r="G171" s="38"/>
      <c r="H171" s="75"/>
      <c r="I171" s="9" t="s">
        <v>21</v>
      </c>
      <c r="J171" s="32">
        <v>45897</v>
      </c>
      <c r="K171" s="32" t="s">
        <v>22</v>
      </c>
      <c r="L171" s="72">
        <v>622.52</v>
      </c>
      <c r="M171" s="72">
        <v>695</v>
      </c>
      <c r="N171" s="40" t="s">
        <v>416</v>
      </c>
      <c r="O171" s="71">
        <v>0.5</v>
      </c>
      <c r="P171" s="14">
        <f>Table2[[#This Row],[Sale Cost]]-Table2[[#This Row],[Fare Cost]]</f>
        <v>72.480000000000018</v>
      </c>
      <c r="Q171" s="162">
        <f>MONTH(Table2[[#This Row],[Issued date]])</f>
        <v>8</v>
      </c>
      <c r="R171" s="174" t="s">
        <v>417</v>
      </c>
      <c r="S171" s="162"/>
    </row>
    <row r="172" spans="2:19" s="176" customFormat="1">
      <c r="B172" s="176" t="s">
        <v>418</v>
      </c>
      <c r="C172" s="177" t="s">
        <v>419</v>
      </c>
      <c r="D172" s="178" t="s">
        <v>33</v>
      </c>
      <c r="E172" s="179">
        <v>46018</v>
      </c>
      <c r="F172" s="180">
        <v>45662</v>
      </c>
      <c r="G172" s="181"/>
      <c r="H172" s="182"/>
      <c r="I172" s="183" t="s">
        <v>21</v>
      </c>
      <c r="J172" s="184">
        <v>45902</v>
      </c>
      <c r="K172" s="184" t="s">
        <v>22</v>
      </c>
      <c r="L172" s="185">
        <v>618.20000000000005</v>
      </c>
      <c r="M172" s="185">
        <v>650</v>
      </c>
      <c r="N172" s="186"/>
      <c r="O172" s="183">
        <v>1</v>
      </c>
      <c r="P172" s="187">
        <f>Table2[[#This Row],[Sale Cost]]-Table2[[#This Row],[Fare Cost]]</f>
        <v>31.799999999999955</v>
      </c>
      <c r="Q172" s="176">
        <f>MONTH(Table2[[#This Row],[Issued date]])</f>
        <v>9</v>
      </c>
      <c r="R172" s="188" t="s">
        <v>420</v>
      </c>
    </row>
    <row r="173" spans="2:19">
      <c r="B173" s="33" t="s">
        <v>421</v>
      </c>
      <c r="C173" s="34" t="s">
        <v>422</v>
      </c>
      <c r="D173" s="35" t="s">
        <v>33</v>
      </c>
      <c r="E173" s="36">
        <v>46018</v>
      </c>
      <c r="F173" s="37">
        <v>45662</v>
      </c>
      <c r="G173" s="38"/>
      <c r="H173" s="75"/>
      <c r="I173" s="9" t="s">
        <v>21</v>
      </c>
      <c r="J173" s="32">
        <v>45902</v>
      </c>
      <c r="K173" s="32" t="s">
        <v>22</v>
      </c>
      <c r="L173" s="72">
        <v>715.2</v>
      </c>
      <c r="M173" s="72">
        <v>735</v>
      </c>
      <c r="N173" s="40"/>
      <c r="O173" s="71">
        <v>1</v>
      </c>
      <c r="P173" s="14">
        <f>Table2[[#This Row],[Sale Cost]]-Table2[[#This Row],[Fare Cost]]</f>
        <v>19.799999999999955</v>
      </c>
      <c r="Q173" s="162">
        <f>MONTH(Table2[[#This Row],[Issued date]])</f>
        <v>9</v>
      </c>
      <c r="R173" s="166" t="s">
        <v>420</v>
      </c>
      <c r="S173" s="162"/>
    </row>
    <row r="174" spans="2:19">
      <c r="B174" s="33" t="s">
        <v>323</v>
      </c>
      <c r="C174" s="34" t="s">
        <v>423</v>
      </c>
      <c r="D174" s="35" t="s">
        <v>22</v>
      </c>
      <c r="E174" s="36">
        <v>45911</v>
      </c>
      <c r="F174" s="37"/>
      <c r="G174" s="38"/>
      <c r="H174" s="75"/>
      <c r="I174" s="9" t="s">
        <v>21</v>
      </c>
      <c r="J174" s="32">
        <v>45902</v>
      </c>
      <c r="K174" s="32" t="s">
        <v>22</v>
      </c>
      <c r="L174" s="72">
        <v>2194.1999999999998</v>
      </c>
      <c r="M174" s="72">
        <v>2390</v>
      </c>
      <c r="N174" s="40"/>
      <c r="O174" s="71">
        <v>2</v>
      </c>
      <c r="P174" s="14">
        <f>Table2[[#This Row],[Sale Cost]]-Table2[[#This Row],[Fare Cost]]</f>
        <v>195.80000000000018</v>
      </c>
      <c r="Q174" s="162">
        <f>MONTH(Table2[[#This Row],[Issued date]])</f>
        <v>9</v>
      </c>
      <c r="R174" s="166" t="s">
        <v>420</v>
      </c>
      <c r="S174" s="162"/>
    </row>
    <row r="175" spans="2:19">
      <c r="B175" s="33" t="s">
        <v>424</v>
      </c>
      <c r="C175" s="34" t="s">
        <v>425</v>
      </c>
      <c r="D175" s="35" t="s">
        <v>308</v>
      </c>
      <c r="E175" s="36">
        <v>45910</v>
      </c>
      <c r="F175" s="37">
        <v>45924</v>
      </c>
      <c r="G175" s="38"/>
      <c r="H175" s="75"/>
      <c r="I175" s="9" t="s">
        <v>21</v>
      </c>
      <c r="J175" s="32">
        <v>45902</v>
      </c>
      <c r="K175" s="32" t="s">
        <v>22</v>
      </c>
      <c r="L175" s="72">
        <v>411.62</v>
      </c>
      <c r="M175" s="72">
        <v>450</v>
      </c>
      <c r="N175" s="40"/>
      <c r="O175" s="71">
        <v>0.5</v>
      </c>
      <c r="P175" s="14">
        <f>Table2[[#This Row],[Sale Cost]]-Table2[[#This Row],[Fare Cost]]</f>
        <v>38.379999999999995</v>
      </c>
      <c r="Q175" s="162">
        <f>MONTH(Table2[[#This Row],[Issued date]])</f>
        <v>9</v>
      </c>
      <c r="R175" s="166" t="s">
        <v>426</v>
      </c>
      <c r="S175" s="162"/>
    </row>
    <row r="176" spans="2:19">
      <c r="B176" s="33" t="s">
        <v>427</v>
      </c>
      <c r="C176" s="34" t="s">
        <v>428</v>
      </c>
      <c r="D176" s="35" t="s">
        <v>22</v>
      </c>
      <c r="E176" s="36">
        <v>45986</v>
      </c>
      <c r="F176" s="37"/>
      <c r="G176" s="38"/>
      <c r="H176" s="75"/>
      <c r="I176" s="9" t="s">
        <v>21</v>
      </c>
      <c r="J176" s="32">
        <v>45902</v>
      </c>
      <c r="K176" s="32" t="s">
        <v>22</v>
      </c>
      <c r="L176" s="72">
        <v>1090.0999999999999</v>
      </c>
      <c r="M176" s="72">
        <v>1165</v>
      </c>
      <c r="N176" s="40"/>
      <c r="O176" s="71">
        <v>1</v>
      </c>
      <c r="P176" s="14">
        <f>Table2[[#This Row],[Sale Cost]]-Table2[[#This Row],[Fare Cost]]</f>
        <v>74.900000000000091</v>
      </c>
      <c r="Q176" s="162">
        <f>MONTH(Table2[[#This Row],[Issued date]])</f>
        <v>9</v>
      </c>
      <c r="R176" s="166" t="s">
        <v>420</v>
      </c>
      <c r="S176" s="162"/>
    </row>
    <row r="177" spans="2:19">
      <c r="B177" s="33" t="s">
        <v>251</v>
      </c>
      <c r="C177" s="34" t="s">
        <v>429</v>
      </c>
      <c r="D177" s="35" t="s">
        <v>26</v>
      </c>
      <c r="E177" s="36">
        <v>45909</v>
      </c>
      <c r="F177" s="37"/>
      <c r="G177" s="38"/>
      <c r="H177" s="75"/>
      <c r="I177" s="9" t="s">
        <v>21</v>
      </c>
      <c r="J177" s="32">
        <v>45904</v>
      </c>
      <c r="K177" s="32" t="s">
        <v>22</v>
      </c>
      <c r="L177" s="72">
        <v>381.2</v>
      </c>
      <c r="M177" s="72">
        <v>580</v>
      </c>
      <c r="N177" s="40"/>
      <c r="O177" s="71">
        <v>0.5</v>
      </c>
      <c r="P177" s="14">
        <f>Table2[[#This Row],[Sale Cost]]-Table2[[#This Row],[Fare Cost]]</f>
        <v>198.8</v>
      </c>
      <c r="Q177" s="162">
        <f>MONTH(Table2[[#This Row],[Issued date]])</f>
        <v>9</v>
      </c>
      <c r="R177" s="166" t="s">
        <v>426</v>
      </c>
      <c r="S177" s="162"/>
    </row>
    <row r="178" spans="2:19">
      <c r="B178" s="33" t="s">
        <v>430</v>
      </c>
      <c r="C178" s="34" t="s">
        <v>431</v>
      </c>
      <c r="D178" s="35" t="s">
        <v>20</v>
      </c>
      <c r="E178" s="36">
        <v>45910</v>
      </c>
      <c r="F178" s="37">
        <v>45923</v>
      </c>
      <c r="G178" s="38"/>
      <c r="H178" s="75"/>
      <c r="I178" s="9" t="s">
        <v>21</v>
      </c>
      <c r="J178" s="32">
        <v>45904</v>
      </c>
      <c r="K178" s="32" t="s">
        <v>22</v>
      </c>
      <c r="L178" s="72">
        <v>584.08000000000004</v>
      </c>
      <c r="M178" s="72">
        <v>0</v>
      </c>
      <c r="N178" s="40"/>
      <c r="O178" s="71">
        <v>1</v>
      </c>
      <c r="P178" s="14">
        <f>Table2[[#This Row],[Sale Cost]]-Table2[[#This Row],[Fare Cost]]</f>
        <v>-584.08000000000004</v>
      </c>
      <c r="Q178" s="162">
        <f>MONTH(Table2[[#This Row],[Issued date]])</f>
        <v>9</v>
      </c>
      <c r="R178" s="166" t="s">
        <v>426</v>
      </c>
      <c r="S178" s="162"/>
    </row>
    <row r="179" spans="2:19">
      <c r="B179" s="33" t="s">
        <v>432</v>
      </c>
      <c r="C179" s="34" t="s">
        <v>433</v>
      </c>
      <c r="D179" s="35" t="s">
        <v>20</v>
      </c>
      <c r="E179" s="36">
        <v>45923</v>
      </c>
      <c r="F179" s="37"/>
      <c r="G179" s="38"/>
      <c r="H179" s="75"/>
      <c r="I179" s="9" t="s">
        <v>21</v>
      </c>
      <c r="J179" s="32">
        <v>45904</v>
      </c>
      <c r="K179" s="32" t="s">
        <v>22</v>
      </c>
      <c r="L179" s="72">
        <v>320</v>
      </c>
      <c r="M179" s="72">
        <v>0</v>
      </c>
      <c r="N179" s="40"/>
      <c r="O179" s="71">
        <v>0.5</v>
      </c>
      <c r="P179" s="14">
        <f>Table2[[#This Row],[Sale Cost]]-Table2[[#This Row],[Fare Cost]]</f>
        <v>-320</v>
      </c>
      <c r="Q179" s="162">
        <f>MONTH(Table2[[#This Row],[Issued date]])</f>
        <v>9</v>
      </c>
      <c r="R179" s="166" t="s">
        <v>426</v>
      </c>
      <c r="S179" s="162"/>
    </row>
    <row r="180" spans="2:19">
      <c r="B180" s="33" t="s">
        <v>434</v>
      </c>
      <c r="C180" s="34" t="s">
        <v>435</v>
      </c>
      <c r="D180" s="35" t="s">
        <v>30</v>
      </c>
      <c r="E180" s="36">
        <v>45912</v>
      </c>
      <c r="F180" s="37">
        <v>45967</v>
      </c>
      <c r="G180" s="38"/>
      <c r="H180" s="75"/>
      <c r="I180" s="9" t="s">
        <v>21</v>
      </c>
      <c r="J180" s="32">
        <v>45906</v>
      </c>
      <c r="K180" s="32" t="s">
        <v>22</v>
      </c>
      <c r="L180" s="72">
        <v>578.22</v>
      </c>
      <c r="M180" s="72">
        <v>675</v>
      </c>
      <c r="N180" s="40"/>
      <c r="O180" s="71">
        <v>1</v>
      </c>
      <c r="P180" s="14">
        <f>Table2[[#This Row],[Sale Cost]]-Table2[[#This Row],[Fare Cost]]</f>
        <v>96.779999999999973</v>
      </c>
      <c r="Q180" s="162">
        <f>MONTH(Table2[[#This Row],[Issued date]])</f>
        <v>9</v>
      </c>
      <c r="R180" s="166" t="s">
        <v>420</v>
      </c>
      <c r="S180" s="162"/>
    </row>
    <row r="181" spans="2:19">
      <c r="B181" s="33" t="s">
        <v>436</v>
      </c>
      <c r="C181" s="34" t="s">
        <v>437</v>
      </c>
      <c r="D181" s="35" t="s">
        <v>20</v>
      </c>
      <c r="E181" s="36">
        <v>45708</v>
      </c>
      <c r="F181" s="37">
        <v>45775</v>
      </c>
      <c r="G181" s="38"/>
      <c r="H181" s="75"/>
      <c r="I181" s="9" t="s">
        <v>21</v>
      </c>
      <c r="J181" s="32">
        <v>45908</v>
      </c>
      <c r="K181" s="32" t="s">
        <v>22</v>
      </c>
      <c r="L181" s="72">
        <v>584.08000000000004</v>
      </c>
      <c r="M181" s="72">
        <v>695</v>
      </c>
      <c r="N181" s="40"/>
      <c r="O181" s="71">
        <v>1</v>
      </c>
      <c r="P181" s="14">
        <f>Table2[[#This Row],[Sale Cost]]-Table2[[#This Row],[Fare Cost]]</f>
        <v>110.91999999999996</v>
      </c>
      <c r="Q181" s="162">
        <f>MONTH(Table2[[#This Row],[Issued date]])</f>
        <v>9</v>
      </c>
      <c r="R181" s="166" t="s">
        <v>426</v>
      </c>
      <c r="S181" s="162"/>
    </row>
    <row r="182" spans="2:19">
      <c r="B182" s="33" t="s">
        <v>438</v>
      </c>
      <c r="C182" s="34" t="s">
        <v>439</v>
      </c>
      <c r="D182" s="35" t="s">
        <v>30</v>
      </c>
      <c r="E182" s="36">
        <v>45941</v>
      </c>
      <c r="F182" s="37">
        <v>45967</v>
      </c>
      <c r="G182" s="38"/>
      <c r="H182" s="75"/>
      <c r="I182" s="9" t="s">
        <v>21</v>
      </c>
      <c r="J182" s="32">
        <v>45908</v>
      </c>
      <c r="K182" s="32" t="s">
        <v>22</v>
      </c>
      <c r="L182" s="72">
        <v>547.22</v>
      </c>
      <c r="M182" s="72">
        <v>675</v>
      </c>
      <c r="N182" s="40"/>
      <c r="O182" s="71">
        <v>1</v>
      </c>
      <c r="P182" s="14">
        <f>Table2[[#This Row],[Sale Cost]]-Table2[[#This Row],[Fare Cost]]</f>
        <v>127.77999999999997</v>
      </c>
      <c r="Q182" s="162">
        <f>MONTH(Table2[[#This Row],[Issued date]])</f>
        <v>9</v>
      </c>
      <c r="R182" s="166" t="s">
        <v>420</v>
      </c>
      <c r="S182" s="162"/>
    </row>
    <row r="183" spans="2:19">
      <c r="B183" s="33" t="s">
        <v>440</v>
      </c>
      <c r="C183" s="34" t="s">
        <v>441</v>
      </c>
      <c r="D183" s="35" t="s">
        <v>30</v>
      </c>
      <c r="E183" s="36">
        <v>45942</v>
      </c>
      <c r="F183" s="37">
        <v>45967</v>
      </c>
      <c r="G183" s="38"/>
      <c r="H183" s="75"/>
      <c r="I183" s="9" t="s">
        <v>21</v>
      </c>
      <c r="J183" s="32">
        <v>45910</v>
      </c>
      <c r="K183" s="32" t="s">
        <v>22</v>
      </c>
      <c r="L183" s="72">
        <v>954.44</v>
      </c>
      <c r="M183" s="72">
        <v>1390</v>
      </c>
      <c r="N183" s="40"/>
      <c r="O183" s="71">
        <v>1</v>
      </c>
      <c r="P183" s="14">
        <f>Table2[[#This Row],[Sale Cost]]-Table2[[#This Row],[Fare Cost]]</f>
        <v>435.55999999999995</v>
      </c>
      <c r="Q183" s="162">
        <f>MONTH(Table2[[#This Row],[Issued date]])</f>
        <v>9</v>
      </c>
      <c r="R183" s="166" t="s">
        <v>426</v>
      </c>
      <c r="S183" s="162"/>
    </row>
    <row r="184" spans="2:19">
      <c r="B184" s="33" t="s">
        <v>442</v>
      </c>
      <c r="C184" s="34" t="s">
        <v>443</v>
      </c>
      <c r="D184" s="35" t="s">
        <v>22</v>
      </c>
      <c r="E184" s="36">
        <v>45917</v>
      </c>
      <c r="F184" s="37">
        <v>45935</v>
      </c>
      <c r="G184" s="38"/>
      <c r="H184" s="75"/>
      <c r="I184" s="9" t="s">
        <v>21</v>
      </c>
      <c r="J184" s="32">
        <v>45913</v>
      </c>
      <c r="K184" s="32" t="s">
        <v>22</v>
      </c>
      <c r="L184" s="72">
        <v>574.58000000000004</v>
      </c>
      <c r="M184" s="72">
        <v>645</v>
      </c>
      <c r="N184" s="40"/>
      <c r="O184" s="71">
        <v>0.5</v>
      </c>
      <c r="P184" s="14">
        <f>Table2[[#This Row],[Sale Cost]]-Table2[[#This Row],[Fare Cost]]</f>
        <v>70.419999999999959</v>
      </c>
      <c r="Q184" s="162">
        <f>MONTH(Table2[[#This Row],[Issued date]])</f>
        <v>9</v>
      </c>
      <c r="R184" s="166" t="s">
        <v>426</v>
      </c>
      <c r="S184" s="162"/>
    </row>
    <row r="185" spans="2:19" s="50" customFormat="1">
      <c r="B185" s="33" t="s">
        <v>333</v>
      </c>
      <c r="C185" s="34" t="s">
        <v>444</v>
      </c>
      <c r="D185" s="35" t="s">
        <v>22</v>
      </c>
      <c r="E185" s="36">
        <v>45917</v>
      </c>
      <c r="F185" s="37">
        <v>45935</v>
      </c>
      <c r="G185" s="38"/>
      <c r="H185" s="75"/>
      <c r="I185" s="9" t="s">
        <v>21</v>
      </c>
      <c r="J185" s="32">
        <v>45913</v>
      </c>
      <c r="K185" s="32" t="s">
        <v>22</v>
      </c>
      <c r="L185" s="72">
        <v>574.58000000000004</v>
      </c>
      <c r="M185" s="72">
        <v>645</v>
      </c>
      <c r="N185" s="40"/>
      <c r="O185" s="71">
        <v>0.5</v>
      </c>
      <c r="P185" s="14">
        <f>Table2[[#This Row],[Sale Cost]]-Table2[[#This Row],[Fare Cost]]</f>
        <v>70.419999999999959</v>
      </c>
      <c r="Q185" s="162">
        <f>MONTH(Table2[[#This Row],[Issued date]])</f>
        <v>9</v>
      </c>
      <c r="R185" s="166" t="s">
        <v>426</v>
      </c>
      <c r="S185" s="162"/>
    </row>
    <row r="186" spans="2:19">
      <c r="B186" s="33" t="s">
        <v>445</v>
      </c>
      <c r="C186" s="34" t="s">
        <v>446</v>
      </c>
      <c r="D186" s="35" t="s">
        <v>30</v>
      </c>
      <c r="E186" s="36">
        <v>45966</v>
      </c>
      <c r="F186" s="37">
        <v>46003</v>
      </c>
      <c r="G186" s="38"/>
      <c r="H186" s="75"/>
      <c r="I186" s="9" t="s">
        <v>21</v>
      </c>
      <c r="J186" s="32">
        <v>45913</v>
      </c>
      <c r="K186" s="32" t="s">
        <v>22</v>
      </c>
      <c r="L186" s="72">
        <v>524.91999999999996</v>
      </c>
      <c r="M186" s="72">
        <v>595</v>
      </c>
      <c r="N186" s="40"/>
      <c r="O186" s="71">
        <v>0.5</v>
      </c>
      <c r="P186" s="14">
        <f>Table2[[#This Row],[Sale Cost]]-Table2[[#This Row],[Fare Cost]]</f>
        <v>70.080000000000041</v>
      </c>
      <c r="Q186" s="162">
        <f>MONTH(Table2[[#This Row],[Issued date]])</f>
        <v>9</v>
      </c>
      <c r="R186" s="166" t="s">
        <v>426</v>
      </c>
      <c r="S186" s="162"/>
    </row>
    <row r="187" spans="2:19">
      <c r="B187" s="33" t="s">
        <v>447</v>
      </c>
      <c r="C187" s="34" t="s">
        <v>448</v>
      </c>
      <c r="D187" s="35" t="s">
        <v>26</v>
      </c>
      <c r="E187" s="36">
        <v>45931</v>
      </c>
      <c r="F187" s="37">
        <v>45989</v>
      </c>
      <c r="G187" s="38"/>
      <c r="H187" s="75"/>
      <c r="I187" s="9" t="s">
        <v>21</v>
      </c>
      <c r="J187" s="32">
        <v>45916</v>
      </c>
      <c r="K187" s="32" t="s">
        <v>22</v>
      </c>
      <c r="L187" s="72">
        <v>576.41999999999996</v>
      </c>
      <c r="M187" s="72">
        <v>645</v>
      </c>
      <c r="N187" s="40"/>
      <c r="O187" s="71">
        <v>1</v>
      </c>
      <c r="P187" s="14">
        <f>Table2[[#This Row],[Sale Cost]]-Table2[[#This Row],[Fare Cost]]</f>
        <v>68.580000000000041</v>
      </c>
      <c r="Q187" s="162">
        <f>MONTH(Table2[[#This Row],[Issued date]])</f>
        <v>9</v>
      </c>
      <c r="R187" s="166" t="s">
        <v>420</v>
      </c>
      <c r="S187" s="162"/>
    </row>
    <row r="188" spans="2:19">
      <c r="B188" s="33" t="s">
        <v>449</v>
      </c>
      <c r="C188" s="34" t="s">
        <v>450</v>
      </c>
      <c r="D188" s="35" t="s">
        <v>308</v>
      </c>
      <c r="E188" s="36">
        <v>45923</v>
      </c>
      <c r="F188" s="37"/>
      <c r="G188" s="38"/>
      <c r="H188" s="75"/>
      <c r="I188" s="9" t="s">
        <v>21</v>
      </c>
      <c r="J188" s="32">
        <v>45916</v>
      </c>
      <c r="K188" s="32" t="s">
        <v>22</v>
      </c>
      <c r="L188" s="72">
        <v>418.7</v>
      </c>
      <c r="M188" s="72">
        <v>495</v>
      </c>
      <c r="N188" s="40"/>
      <c r="O188" s="71">
        <v>1</v>
      </c>
      <c r="P188" s="14">
        <f>Table2[[#This Row],[Sale Cost]]-Table2[[#This Row],[Fare Cost]]</f>
        <v>76.300000000000011</v>
      </c>
      <c r="Q188" s="162">
        <f>MONTH(Table2[[#This Row],[Issued date]])</f>
        <v>9</v>
      </c>
      <c r="R188" s="166" t="s">
        <v>420</v>
      </c>
      <c r="S188" s="162"/>
    </row>
    <row r="189" spans="2:19">
      <c r="B189" s="33" t="s">
        <v>451</v>
      </c>
      <c r="C189" s="34" t="s">
        <v>452</v>
      </c>
      <c r="D189" s="35" t="s">
        <v>26</v>
      </c>
      <c r="E189" s="36">
        <v>45923</v>
      </c>
      <c r="F189" s="37"/>
      <c r="G189" s="38"/>
      <c r="H189" s="75"/>
      <c r="I189" s="9" t="s">
        <v>21</v>
      </c>
      <c r="J189" s="32">
        <v>45916</v>
      </c>
      <c r="K189" s="32" t="s">
        <v>22</v>
      </c>
      <c r="L189" s="72">
        <v>684.02</v>
      </c>
      <c r="M189" s="72">
        <v>780</v>
      </c>
      <c r="N189" s="40"/>
      <c r="O189" s="71">
        <v>2</v>
      </c>
      <c r="P189" s="14">
        <f>Table2[[#This Row],[Sale Cost]]-Table2[[#This Row],[Fare Cost]]</f>
        <v>95.980000000000018</v>
      </c>
      <c r="Q189" s="162">
        <f>MONTH(Table2[[#This Row],[Issued date]])</f>
        <v>9</v>
      </c>
      <c r="R189" s="166" t="s">
        <v>420</v>
      </c>
      <c r="S189" s="162"/>
    </row>
    <row r="190" spans="2:19">
      <c r="B190" s="33" t="s">
        <v>453</v>
      </c>
      <c r="C190" s="34" t="s">
        <v>454</v>
      </c>
      <c r="D190" s="35" t="s">
        <v>89</v>
      </c>
      <c r="E190" s="36">
        <v>45933</v>
      </c>
      <c r="F190" s="37"/>
      <c r="G190" s="38"/>
      <c r="H190" s="75"/>
      <c r="I190" s="9" t="s">
        <v>21</v>
      </c>
      <c r="J190" s="32">
        <v>45918</v>
      </c>
      <c r="K190" s="32" t="s">
        <v>22</v>
      </c>
      <c r="L190" s="72">
        <v>327.7</v>
      </c>
      <c r="M190" s="72">
        <v>330</v>
      </c>
      <c r="N190" s="40"/>
      <c r="O190" s="71">
        <v>0</v>
      </c>
      <c r="P190" s="14">
        <f>Table2[[#This Row],[Sale Cost]]-Table2[[#This Row],[Fare Cost]]</f>
        <v>2.3000000000000114</v>
      </c>
      <c r="Q190" s="162">
        <f>MONTH(Table2[[#This Row],[Issued date]])</f>
        <v>9</v>
      </c>
      <c r="R190" s="166" t="s">
        <v>420</v>
      </c>
      <c r="S190" s="162"/>
    </row>
    <row r="191" spans="2:19">
      <c r="B191" s="33" t="s">
        <v>455</v>
      </c>
      <c r="C191" s="34" t="s">
        <v>456</v>
      </c>
      <c r="D191" s="35" t="s">
        <v>30</v>
      </c>
      <c r="E191" s="36">
        <v>45935</v>
      </c>
      <c r="F191" s="37">
        <v>45975</v>
      </c>
      <c r="G191" s="38"/>
      <c r="H191" s="75"/>
      <c r="I191" s="9" t="s">
        <v>21</v>
      </c>
      <c r="J191" s="32">
        <v>45918</v>
      </c>
      <c r="K191" s="32" t="s">
        <v>22</v>
      </c>
      <c r="L191" s="72">
        <v>570.32000000000005</v>
      </c>
      <c r="M191" s="72">
        <v>1140.6400000000001</v>
      </c>
      <c r="N191" s="40"/>
      <c r="O191" s="71">
        <v>1</v>
      </c>
      <c r="P191" s="14">
        <f>Table2[[#This Row],[Sale Cost]]-Table2[[#This Row],[Fare Cost]]</f>
        <v>570.32000000000005</v>
      </c>
      <c r="Q191" s="162">
        <f>MONTH(Table2[[#This Row],[Issued date]])</f>
        <v>9</v>
      </c>
      <c r="R191" s="166" t="s">
        <v>426</v>
      </c>
      <c r="S191" s="162"/>
    </row>
    <row r="192" spans="2:19">
      <c r="B192" s="33" t="s">
        <v>449</v>
      </c>
      <c r="C192" s="34" t="s">
        <v>457</v>
      </c>
      <c r="D192" s="35" t="s">
        <v>458</v>
      </c>
      <c r="E192" s="36">
        <v>45923</v>
      </c>
      <c r="F192" s="37"/>
      <c r="G192" s="38"/>
      <c r="H192" s="75"/>
      <c r="I192" s="9" t="s">
        <v>21</v>
      </c>
      <c r="J192" s="32">
        <v>45919</v>
      </c>
      <c r="K192" s="32" t="s">
        <v>22</v>
      </c>
      <c r="L192" s="72">
        <v>486.6</v>
      </c>
      <c r="M192" s="72">
        <v>520</v>
      </c>
      <c r="N192" s="40"/>
      <c r="O192" s="71">
        <v>1</v>
      </c>
      <c r="P192" s="14">
        <f>Table2[[#This Row],[Sale Cost]]-Table2[[#This Row],[Fare Cost]]</f>
        <v>33.399999999999977</v>
      </c>
      <c r="Q192" s="162">
        <f>MONTH(Table2[[#This Row],[Issued date]])</f>
        <v>9</v>
      </c>
      <c r="R192" s="166" t="s">
        <v>420</v>
      </c>
      <c r="S192" s="162"/>
    </row>
    <row r="193" spans="2:19">
      <c r="B193" s="33" t="s">
        <v>459</v>
      </c>
      <c r="C193" s="34" t="s">
        <v>460</v>
      </c>
      <c r="D193" s="35" t="s">
        <v>26</v>
      </c>
      <c r="E193" s="36">
        <v>45941</v>
      </c>
      <c r="F193" s="37">
        <v>45974</v>
      </c>
      <c r="G193" s="38"/>
      <c r="H193" s="75"/>
      <c r="I193" s="9" t="s">
        <v>21</v>
      </c>
      <c r="J193" s="32">
        <v>45919</v>
      </c>
      <c r="K193" s="32" t="s">
        <v>22</v>
      </c>
      <c r="L193" s="72">
        <v>563.91999999999996</v>
      </c>
      <c r="M193" s="72">
        <v>625</v>
      </c>
      <c r="N193" s="40"/>
      <c r="O193" s="71">
        <v>1</v>
      </c>
      <c r="P193" s="14">
        <f>Table2[[#This Row],[Sale Cost]]-Table2[[#This Row],[Fare Cost]]</f>
        <v>61.080000000000041</v>
      </c>
      <c r="Q193" s="162">
        <f>MONTH(Table2[[#This Row],[Issued date]])</f>
        <v>9</v>
      </c>
      <c r="R193" s="166" t="s">
        <v>420</v>
      </c>
      <c r="S193" s="162"/>
    </row>
    <row r="194" spans="2:19">
      <c r="B194" s="33" t="s">
        <v>461</v>
      </c>
      <c r="C194" s="34" t="s">
        <v>462</v>
      </c>
      <c r="D194" s="35" t="s">
        <v>33</v>
      </c>
      <c r="E194" s="36">
        <v>45979</v>
      </c>
      <c r="F194" s="37">
        <v>46017</v>
      </c>
      <c r="G194" s="38"/>
      <c r="H194" s="75"/>
      <c r="I194" s="9" t="s">
        <v>21</v>
      </c>
      <c r="J194" s="32">
        <v>45924</v>
      </c>
      <c r="K194" s="32" t="s">
        <v>22</v>
      </c>
      <c r="L194" s="72">
        <v>1058.76</v>
      </c>
      <c r="M194" s="72">
        <v>1195</v>
      </c>
      <c r="N194" s="40"/>
      <c r="O194" s="71">
        <v>3</v>
      </c>
      <c r="P194" s="14">
        <f>Table2[[#This Row],[Sale Cost]]-Table2[[#This Row],[Fare Cost]]</f>
        <v>136.24</v>
      </c>
      <c r="Q194" s="162">
        <f>MONTH(Table2[[#This Row],[Issued date]])</f>
        <v>9</v>
      </c>
      <c r="R194" s="166" t="s">
        <v>420</v>
      </c>
      <c r="S194" s="162"/>
    </row>
    <row r="195" spans="2:19">
      <c r="B195" s="33" t="s">
        <v>463</v>
      </c>
      <c r="C195" s="34" t="s">
        <v>464</v>
      </c>
      <c r="D195" s="35" t="s">
        <v>20</v>
      </c>
      <c r="E195" s="36">
        <v>45975</v>
      </c>
      <c r="F195" s="37">
        <v>45702</v>
      </c>
      <c r="G195" s="38"/>
      <c r="H195" s="75"/>
      <c r="I195" s="9" t="s">
        <v>21</v>
      </c>
      <c r="J195" s="32">
        <v>45924</v>
      </c>
      <c r="K195" s="32" t="s">
        <v>22</v>
      </c>
      <c r="L195" s="72">
        <v>583.88</v>
      </c>
      <c r="M195" s="72">
        <v>645</v>
      </c>
      <c r="N195" s="40"/>
      <c r="O195" s="71">
        <v>1</v>
      </c>
      <c r="P195" s="14">
        <f>Table2[[#This Row],[Sale Cost]]-Table2[[#This Row],[Fare Cost]]</f>
        <v>61.120000000000005</v>
      </c>
      <c r="Q195" s="162">
        <f>MONTH(Table2[[#This Row],[Issued date]])</f>
        <v>9</v>
      </c>
      <c r="R195" s="166" t="s">
        <v>420</v>
      </c>
      <c r="S195" s="162"/>
    </row>
    <row r="196" spans="2:19">
      <c r="B196" s="33" t="s">
        <v>465</v>
      </c>
      <c r="C196" s="34" t="s">
        <v>466</v>
      </c>
      <c r="D196" s="35" t="s">
        <v>20</v>
      </c>
      <c r="E196" s="36">
        <v>45965</v>
      </c>
      <c r="F196" s="37">
        <v>45994</v>
      </c>
      <c r="G196" s="38"/>
      <c r="H196" s="75"/>
      <c r="I196" s="9" t="s">
        <v>21</v>
      </c>
      <c r="J196" s="32">
        <v>45925</v>
      </c>
      <c r="K196" s="32" t="s">
        <v>22</v>
      </c>
      <c r="L196" s="72">
        <v>703.88</v>
      </c>
      <c r="M196" s="72">
        <v>750</v>
      </c>
      <c r="N196" s="40"/>
      <c r="O196" s="71">
        <v>0.5</v>
      </c>
      <c r="P196" s="14">
        <f>Table2[[#This Row],[Sale Cost]]-Table2[[#This Row],[Fare Cost]]</f>
        <v>46.120000000000005</v>
      </c>
      <c r="Q196" s="162">
        <f>MONTH(Table2[[#This Row],[Issued date]])</f>
        <v>9</v>
      </c>
      <c r="R196" s="166" t="s">
        <v>426</v>
      </c>
      <c r="S196" s="162"/>
    </row>
    <row r="197" spans="2:19">
      <c r="B197" s="33" t="s">
        <v>467</v>
      </c>
      <c r="C197" s="34" t="s">
        <v>468</v>
      </c>
      <c r="D197" s="35" t="s">
        <v>33</v>
      </c>
      <c r="E197" s="36">
        <v>45974</v>
      </c>
      <c r="F197" s="37">
        <v>45998</v>
      </c>
      <c r="G197" s="38"/>
      <c r="H197" s="75"/>
      <c r="I197" s="9" t="s">
        <v>21</v>
      </c>
      <c r="J197" s="32">
        <v>45929</v>
      </c>
      <c r="K197" s="32" t="s">
        <v>22</v>
      </c>
      <c r="L197" s="72">
        <v>1029.24</v>
      </c>
      <c r="M197" s="72">
        <v>1150</v>
      </c>
      <c r="N197" s="40"/>
      <c r="O197" s="71">
        <v>2</v>
      </c>
      <c r="P197" s="14">
        <f>Table2[[#This Row],[Sale Cost]]-Table2[[#This Row],[Fare Cost]]</f>
        <v>120.75999999999999</v>
      </c>
      <c r="Q197" s="162">
        <f>MONTH(Table2[[#This Row],[Issued date]])</f>
        <v>9</v>
      </c>
      <c r="R197" s="166" t="s">
        <v>420</v>
      </c>
      <c r="S197" s="162"/>
    </row>
    <row r="198" spans="2:19">
      <c r="B198" s="33" t="s">
        <v>124</v>
      </c>
      <c r="C198" s="34" t="s">
        <v>469</v>
      </c>
      <c r="D198" s="35" t="s">
        <v>470</v>
      </c>
      <c r="E198" s="36">
        <v>45931</v>
      </c>
      <c r="F198" s="37"/>
      <c r="G198" s="38"/>
      <c r="H198" s="75"/>
      <c r="I198" s="9" t="s">
        <v>21</v>
      </c>
      <c r="J198" s="32">
        <v>45929</v>
      </c>
      <c r="K198" s="32" t="s">
        <v>22</v>
      </c>
      <c r="L198" s="72">
        <v>266.68</v>
      </c>
      <c r="M198" s="72">
        <v>325</v>
      </c>
      <c r="N198" s="40"/>
      <c r="O198" s="71">
        <v>1</v>
      </c>
      <c r="P198" s="14">
        <f>Table2[[#This Row],[Sale Cost]]-Table2[[#This Row],[Fare Cost]]</f>
        <v>58.319999999999993</v>
      </c>
      <c r="Q198" s="162">
        <f>MONTH(Table2[[#This Row],[Issued date]])</f>
        <v>9</v>
      </c>
      <c r="R198" s="166" t="s">
        <v>420</v>
      </c>
      <c r="S198" s="162"/>
    </row>
    <row r="199" spans="2:19">
      <c r="B199" s="33" t="s">
        <v>471</v>
      </c>
      <c r="C199" s="34" t="s">
        <v>472</v>
      </c>
      <c r="D199" s="35" t="s">
        <v>359</v>
      </c>
      <c r="E199" s="36">
        <v>45935</v>
      </c>
      <c r="F199" s="37">
        <v>45966</v>
      </c>
      <c r="G199" s="38"/>
      <c r="H199" s="75"/>
      <c r="I199" s="9" t="s">
        <v>21</v>
      </c>
      <c r="J199" s="32">
        <v>45930</v>
      </c>
      <c r="K199" s="32" t="s">
        <v>22</v>
      </c>
      <c r="L199" s="72">
        <v>440.96</v>
      </c>
      <c r="M199" s="72">
        <v>495</v>
      </c>
      <c r="N199" s="40"/>
      <c r="O199" s="71">
        <v>0.5</v>
      </c>
      <c r="P199" s="14">
        <f>Table2[[#This Row],[Sale Cost]]-Table2[[#This Row],[Fare Cost]]</f>
        <v>54.04000000000002</v>
      </c>
      <c r="Q199" s="162">
        <f>MONTH(Table2[[#This Row],[Issued date]])</f>
        <v>9</v>
      </c>
      <c r="R199" s="166" t="s">
        <v>426</v>
      </c>
      <c r="S199" s="162"/>
    </row>
    <row r="200" spans="2:19" s="176" customFormat="1">
      <c r="B200" s="189" t="s">
        <v>80</v>
      </c>
      <c r="C200" s="190" t="s">
        <v>473</v>
      </c>
      <c r="D200" s="191" t="s">
        <v>33</v>
      </c>
      <c r="E200" s="192">
        <v>45956</v>
      </c>
      <c r="F200" s="193">
        <v>45970</v>
      </c>
      <c r="G200" s="194"/>
      <c r="H200" s="195"/>
      <c r="I200" s="9" t="s">
        <v>21</v>
      </c>
      <c r="J200" s="196">
        <v>45931</v>
      </c>
      <c r="K200" s="196" t="s">
        <v>22</v>
      </c>
      <c r="L200" s="197">
        <v>683.02</v>
      </c>
      <c r="M200" s="197">
        <v>1366.04</v>
      </c>
      <c r="N200" s="198"/>
      <c r="O200" s="199">
        <v>0</v>
      </c>
      <c r="P200" s="200">
        <f>Table2[[#This Row],[Sale Cost]]-Table2[[#This Row],[Fare Cost]]</f>
        <v>683.02</v>
      </c>
      <c r="Q200" s="162">
        <f>MONTH(Table2[[#This Row],[Issued date]])</f>
        <v>10</v>
      </c>
      <c r="R200" s="188" t="s">
        <v>355</v>
      </c>
      <c r="S200" s="201"/>
    </row>
    <row r="201" spans="2:19">
      <c r="B201" s="33" t="s">
        <v>474</v>
      </c>
      <c r="C201" s="34" t="s">
        <v>475</v>
      </c>
      <c r="D201" s="35" t="s">
        <v>476</v>
      </c>
      <c r="E201" s="36">
        <v>46015</v>
      </c>
      <c r="F201" s="37">
        <v>46022</v>
      </c>
      <c r="G201" s="38"/>
      <c r="H201" s="75"/>
      <c r="I201" s="9" t="s">
        <v>21</v>
      </c>
      <c r="J201" s="32">
        <v>45932</v>
      </c>
      <c r="K201" s="32" t="s">
        <v>22</v>
      </c>
      <c r="L201" s="72">
        <v>2399.46</v>
      </c>
      <c r="M201" s="72">
        <v>2500</v>
      </c>
      <c r="N201" s="40"/>
      <c r="O201" s="71">
        <v>3</v>
      </c>
      <c r="P201" s="14">
        <f>Table2[[#This Row],[Sale Cost]]-Table2[[#This Row],[Fare Cost]]</f>
        <v>100.53999999999996</v>
      </c>
      <c r="Q201" s="162">
        <f>MONTH(Table2[[#This Row],[Issued date]])</f>
        <v>10</v>
      </c>
      <c r="R201" s="3" t="s">
        <v>420</v>
      </c>
      <c r="S201" s="162"/>
    </row>
    <row r="202" spans="2:19">
      <c r="B202" s="33" t="s">
        <v>477</v>
      </c>
      <c r="C202" s="34" t="s">
        <v>478</v>
      </c>
      <c r="D202" s="35" t="s">
        <v>476</v>
      </c>
      <c r="E202" s="36">
        <v>46015</v>
      </c>
      <c r="F202" s="37">
        <v>46022</v>
      </c>
      <c r="G202" s="38"/>
      <c r="H202" s="75"/>
      <c r="I202" s="9" t="s">
        <v>21</v>
      </c>
      <c r="J202" s="32">
        <v>45932</v>
      </c>
      <c r="K202" s="32" t="s">
        <v>22</v>
      </c>
      <c r="L202" s="72">
        <v>2411.46</v>
      </c>
      <c r="M202" s="72">
        <v>2500</v>
      </c>
      <c r="N202" s="40"/>
      <c r="O202" s="71">
        <v>3</v>
      </c>
      <c r="P202" s="14">
        <f>Table2[[#This Row],[Sale Cost]]-Table2[[#This Row],[Fare Cost]]</f>
        <v>88.539999999999964</v>
      </c>
      <c r="Q202" s="162">
        <f>MONTH(Table2[[#This Row],[Issued date]])</f>
        <v>10</v>
      </c>
      <c r="R202" s="3" t="s">
        <v>420</v>
      </c>
      <c r="S202" s="162"/>
    </row>
    <row r="203" spans="2:19">
      <c r="B203" s="33" t="s">
        <v>220</v>
      </c>
      <c r="C203" s="34" t="s">
        <v>221</v>
      </c>
      <c r="D203" s="35" t="s">
        <v>46</v>
      </c>
      <c r="E203" s="36">
        <v>45736</v>
      </c>
      <c r="F203" s="37">
        <v>45762</v>
      </c>
      <c r="G203" s="38"/>
      <c r="H203" s="75"/>
      <c r="I203" s="9" t="s">
        <v>21</v>
      </c>
      <c r="J203" s="32">
        <v>45933</v>
      </c>
      <c r="K203" s="123" t="s">
        <v>47</v>
      </c>
      <c r="L203" s="72">
        <v>39</v>
      </c>
      <c r="M203" s="72">
        <v>395</v>
      </c>
      <c r="N203" s="40"/>
      <c r="O203" s="71">
        <f>5*0.5</f>
        <v>2.5</v>
      </c>
      <c r="P203" s="14">
        <f>Table2[[#This Row],[Sale Cost]]-Table2[[#This Row],[Fare Cost]]</f>
        <v>356</v>
      </c>
      <c r="Q203" s="162">
        <f>MONTH(Table2[[#This Row],[Issued date]])</f>
        <v>10</v>
      </c>
      <c r="R203" s="3" t="s">
        <v>420</v>
      </c>
      <c r="S203" s="162"/>
    </row>
    <row r="204" spans="2:19">
      <c r="B204" s="33" t="s">
        <v>479</v>
      </c>
      <c r="C204" s="34" t="s">
        <v>480</v>
      </c>
      <c r="D204" s="35" t="s">
        <v>20</v>
      </c>
      <c r="E204" s="36">
        <v>45943</v>
      </c>
      <c r="F204" s="37">
        <v>45973</v>
      </c>
      <c r="G204" s="38"/>
      <c r="H204" s="75"/>
      <c r="I204" s="9" t="s">
        <v>21</v>
      </c>
      <c r="J204" s="32">
        <v>45933</v>
      </c>
      <c r="K204" s="32" t="s">
        <v>22</v>
      </c>
      <c r="L204" s="72">
        <v>1154.08</v>
      </c>
      <c r="M204" s="72">
        <v>1445</v>
      </c>
      <c r="N204" s="40"/>
      <c r="O204" s="71">
        <v>1</v>
      </c>
      <c r="P204" s="14">
        <f>Table2[[#This Row],[Sale Cost]]-Table2[[#This Row],[Fare Cost]]</f>
        <v>290.92000000000007</v>
      </c>
      <c r="Q204" s="162">
        <f>MONTH(Table2[[#This Row],[Issued date]])</f>
        <v>10</v>
      </c>
      <c r="R204" s="3" t="s">
        <v>420</v>
      </c>
      <c r="S204" s="162"/>
    </row>
    <row r="205" spans="2:19">
      <c r="B205" s="33" t="s">
        <v>315</v>
      </c>
      <c r="C205" s="34" t="s">
        <v>316</v>
      </c>
      <c r="D205" s="35" t="s">
        <v>22</v>
      </c>
      <c r="E205" s="36">
        <v>45973</v>
      </c>
      <c r="F205" s="37"/>
      <c r="G205" s="38"/>
      <c r="H205" s="75"/>
      <c r="I205" s="9" t="s">
        <v>21</v>
      </c>
      <c r="J205" s="32">
        <v>45934</v>
      </c>
      <c r="K205" s="123" t="s">
        <v>47</v>
      </c>
      <c r="L205" s="72">
        <v>49</v>
      </c>
      <c r="M205" s="72">
        <v>175</v>
      </c>
      <c r="N205" s="40"/>
      <c r="O205" s="71">
        <f>1*0.5</f>
        <v>0.5</v>
      </c>
      <c r="P205" s="14">
        <f>Table2[[#This Row],[Sale Cost]]-Table2[[#This Row],[Fare Cost]]</f>
        <v>126</v>
      </c>
      <c r="Q205" s="162">
        <f>MONTH(Table2[[#This Row],[Issued date]])</f>
        <v>10</v>
      </c>
      <c r="R205" s="3" t="s">
        <v>420</v>
      </c>
      <c r="S205" s="162"/>
    </row>
    <row r="206" spans="2:19">
      <c r="B206" s="33" t="s">
        <v>366</v>
      </c>
      <c r="C206" s="34" t="s">
        <v>367</v>
      </c>
      <c r="D206" s="35" t="s">
        <v>20</v>
      </c>
      <c r="E206" s="36">
        <v>45985</v>
      </c>
      <c r="F206" s="37"/>
      <c r="G206" s="38"/>
      <c r="H206" s="75"/>
      <c r="I206" s="9" t="s">
        <v>21</v>
      </c>
      <c r="J206" s="32">
        <v>45934</v>
      </c>
      <c r="K206" s="123" t="s">
        <v>47</v>
      </c>
      <c r="L206" s="72">
        <v>186</v>
      </c>
      <c r="M206" s="72">
        <v>295</v>
      </c>
      <c r="N206" s="40"/>
      <c r="O206" s="71">
        <f>1*0.5</f>
        <v>0.5</v>
      </c>
      <c r="P206" s="14">
        <f>Table2[[#This Row],[Sale Cost]]-Table2[[#This Row],[Fare Cost]]</f>
        <v>109</v>
      </c>
      <c r="Q206" s="162">
        <f>MONTH(Table2[[#This Row],[Issued date]])</f>
        <v>10</v>
      </c>
      <c r="R206" s="3" t="s">
        <v>420</v>
      </c>
      <c r="S206" s="162"/>
    </row>
    <row r="207" spans="2:19">
      <c r="B207" s="33" t="s">
        <v>18</v>
      </c>
      <c r="C207" s="34" t="s">
        <v>481</v>
      </c>
      <c r="D207" s="35" t="s">
        <v>33</v>
      </c>
      <c r="E207" s="36">
        <v>45967</v>
      </c>
      <c r="F207" s="37">
        <v>45692</v>
      </c>
      <c r="G207" s="38"/>
      <c r="H207" s="75"/>
      <c r="I207" s="9" t="s">
        <v>21</v>
      </c>
      <c r="J207" s="32">
        <v>45934</v>
      </c>
      <c r="K207" s="32" t="s">
        <v>22</v>
      </c>
      <c r="L207" s="72">
        <v>999.04</v>
      </c>
      <c r="M207" s="72">
        <v>1100</v>
      </c>
      <c r="N207" s="40"/>
      <c r="O207" s="71">
        <v>1</v>
      </c>
      <c r="P207" s="14">
        <f>Table2[[#This Row],[Sale Cost]]-Table2[[#This Row],[Fare Cost]]</f>
        <v>100.96000000000004</v>
      </c>
      <c r="Q207" s="162">
        <f>MONTH(Table2[[#This Row],[Issued date]])</f>
        <v>10</v>
      </c>
      <c r="R207" s="3" t="s">
        <v>426</v>
      </c>
      <c r="S207" s="162"/>
    </row>
    <row r="208" spans="2:19">
      <c r="B208" s="33" t="s">
        <v>482</v>
      </c>
      <c r="C208" s="34" t="s">
        <v>483</v>
      </c>
      <c r="D208" s="35" t="s">
        <v>233</v>
      </c>
      <c r="E208" s="36">
        <v>45976</v>
      </c>
      <c r="F208" s="37"/>
      <c r="G208" s="38"/>
      <c r="H208" s="75"/>
      <c r="I208" s="9" t="s">
        <v>21</v>
      </c>
      <c r="J208" s="32">
        <v>45936</v>
      </c>
      <c r="K208" s="32" t="s">
        <v>22</v>
      </c>
      <c r="L208" s="72">
        <v>352</v>
      </c>
      <c r="M208" s="72">
        <v>425</v>
      </c>
      <c r="N208" s="40"/>
      <c r="O208" s="71">
        <v>0.5</v>
      </c>
      <c r="P208" s="14">
        <f>Table2[[#This Row],[Sale Cost]]-Table2[[#This Row],[Fare Cost]]</f>
        <v>73</v>
      </c>
      <c r="Q208" s="162">
        <f>MONTH(Table2[[#This Row],[Issued date]])</f>
        <v>10</v>
      </c>
      <c r="R208" s="3" t="s">
        <v>426</v>
      </c>
      <c r="S208" s="162"/>
    </row>
    <row r="209" spans="2:19">
      <c r="B209" s="33" t="s">
        <v>484</v>
      </c>
      <c r="C209" s="34" t="s">
        <v>485</v>
      </c>
      <c r="D209" s="35" t="s">
        <v>233</v>
      </c>
      <c r="E209" s="36">
        <v>45962</v>
      </c>
      <c r="F209" s="37">
        <v>45976</v>
      </c>
      <c r="G209" s="38"/>
      <c r="H209" s="75"/>
      <c r="I209" s="9" t="s">
        <v>21</v>
      </c>
      <c r="J209" s="32">
        <v>45936</v>
      </c>
      <c r="K209" s="32" t="s">
        <v>22</v>
      </c>
      <c r="L209" s="72">
        <v>697.07</v>
      </c>
      <c r="M209" s="72">
        <v>745</v>
      </c>
      <c r="N209" s="40"/>
      <c r="O209" s="71">
        <v>0.5</v>
      </c>
      <c r="P209" s="14">
        <f>Table2[[#This Row],[Sale Cost]]-Table2[[#This Row],[Fare Cost]]</f>
        <v>47.92999999999995</v>
      </c>
      <c r="Q209" s="162">
        <f>MONTH(Table2[[#This Row],[Issued date]])</f>
        <v>10</v>
      </c>
      <c r="R209" s="3" t="s">
        <v>426</v>
      </c>
      <c r="S209" s="162"/>
    </row>
    <row r="210" spans="2:19">
      <c r="B210" s="33" t="s">
        <v>124</v>
      </c>
      <c r="C210" s="34" t="s">
        <v>486</v>
      </c>
      <c r="D210" s="35" t="s">
        <v>63</v>
      </c>
      <c r="E210" s="36">
        <v>45949</v>
      </c>
      <c r="F210" s="37"/>
      <c r="G210" s="38"/>
      <c r="H210" s="75"/>
      <c r="I210" s="9" t="s">
        <v>21</v>
      </c>
      <c r="J210" s="32">
        <v>45936</v>
      </c>
      <c r="K210" s="32" t="s">
        <v>22</v>
      </c>
      <c r="L210" s="72">
        <v>329.8</v>
      </c>
      <c r="M210" s="72">
        <v>385</v>
      </c>
      <c r="N210" s="40"/>
      <c r="O210" s="71">
        <v>1</v>
      </c>
      <c r="P210" s="14">
        <f>Table2[[#This Row],[Sale Cost]]-Table2[[#This Row],[Fare Cost]]</f>
        <v>55.199999999999989</v>
      </c>
      <c r="Q210" s="162">
        <f>MONTH(Table2[[#This Row],[Issued date]])</f>
        <v>10</v>
      </c>
      <c r="R210" s="3" t="s">
        <v>420</v>
      </c>
      <c r="S210" s="162"/>
    </row>
    <row r="211" spans="2:19">
      <c r="B211" s="33" t="s">
        <v>487</v>
      </c>
      <c r="C211" s="34" t="s">
        <v>488</v>
      </c>
      <c r="D211" s="35" t="s">
        <v>63</v>
      </c>
      <c r="E211" s="36">
        <v>45940</v>
      </c>
      <c r="F211" s="37">
        <v>45944</v>
      </c>
      <c r="G211" s="38"/>
      <c r="H211" s="75"/>
      <c r="I211" s="9" t="s">
        <v>21</v>
      </c>
      <c r="J211" s="32">
        <v>45939</v>
      </c>
      <c r="K211" s="32" t="s">
        <v>22</v>
      </c>
      <c r="L211" s="72">
        <v>611.41999999999996</v>
      </c>
      <c r="M211" s="72">
        <v>695</v>
      </c>
      <c r="N211" s="40"/>
      <c r="O211" s="71">
        <v>0</v>
      </c>
      <c r="P211" s="14">
        <f>Table2[[#This Row],[Sale Cost]]-Table2[[#This Row],[Fare Cost]]</f>
        <v>83.580000000000041</v>
      </c>
      <c r="Q211" s="162">
        <f>MONTH(Table2[[#This Row],[Issued date]])</f>
        <v>10</v>
      </c>
      <c r="R211" s="3" t="s">
        <v>489</v>
      </c>
      <c r="S211" s="162"/>
    </row>
    <row r="212" spans="2:19">
      <c r="B212" s="33" t="s">
        <v>490</v>
      </c>
      <c r="C212" s="34" t="s">
        <v>491</v>
      </c>
      <c r="D212" s="35" t="s">
        <v>20</v>
      </c>
      <c r="E212" s="36">
        <v>45945</v>
      </c>
      <c r="F212" s="37">
        <v>45987</v>
      </c>
      <c r="G212" s="38"/>
      <c r="H212" s="75"/>
      <c r="I212" s="9" t="s">
        <v>21</v>
      </c>
      <c r="J212" s="32">
        <v>45939</v>
      </c>
      <c r="K212" s="32" t="s">
        <v>22</v>
      </c>
      <c r="L212" s="72">
        <v>1306.08</v>
      </c>
      <c r="M212" s="72">
        <v>1370</v>
      </c>
      <c r="N212" s="40"/>
      <c r="O212" s="71">
        <v>1</v>
      </c>
      <c r="P212" s="14">
        <f>Table2[[#This Row],[Sale Cost]]-Table2[[#This Row],[Fare Cost]]</f>
        <v>63.920000000000073</v>
      </c>
      <c r="Q212" s="162">
        <f>MONTH(Table2[[#This Row],[Issued date]])</f>
        <v>10</v>
      </c>
      <c r="R212" s="3" t="s">
        <v>420</v>
      </c>
      <c r="S212" s="162"/>
    </row>
    <row r="213" spans="2:19">
      <c r="B213" s="33" t="s">
        <v>492</v>
      </c>
      <c r="C213" s="34" t="s">
        <v>493</v>
      </c>
      <c r="D213" s="35" t="s">
        <v>20</v>
      </c>
      <c r="E213" s="36">
        <v>45945</v>
      </c>
      <c r="F213" s="37">
        <v>45987</v>
      </c>
      <c r="G213" s="38"/>
      <c r="H213" s="75"/>
      <c r="I213" s="9" t="s">
        <v>21</v>
      </c>
      <c r="J213" s="32">
        <v>45939</v>
      </c>
      <c r="K213" s="32" t="s">
        <v>22</v>
      </c>
      <c r="L213" s="72">
        <v>1341.08</v>
      </c>
      <c r="M213" s="72">
        <v>1395</v>
      </c>
      <c r="N213" s="40"/>
      <c r="O213" s="71">
        <v>1</v>
      </c>
      <c r="P213" s="14">
        <f>Table2[[#This Row],[Sale Cost]]-Table2[[#This Row],[Fare Cost]]</f>
        <v>53.920000000000073</v>
      </c>
      <c r="Q213" s="162">
        <f>MONTH(Table2[[#This Row],[Issued date]])</f>
        <v>10</v>
      </c>
      <c r="R213" s="3" t="s">
        <v>420</v>
      </c>
      <c r="S213" s="162"/>
    </row>
    <row r="214" spans="2:19">
      <c r="B214" s="33" t="s">
        <v>494</v>
      </c>
      <c r="C214" s="34" t="s">
        <v>495</v>
      </c>
      <c r="D214" s="35" t="s">
        <v>63</v>
      </c>
      <c r="E214" s="36">
        <v>45943</v>
      </c>
      <c r="F214" s="37">
        <v>45980</v>
      </c>
      <c r="G214" s="38"/>
      <c r="H214" s="75"/>
      <c r="I214" s="9" t="s">
        <v>21</v>
      </c>
      <c r="J214" s="32">
        <v>45940</v>
      </c>
      <c r="K214" s="32" t="s">
        <v>22</v>
      </c>
      <c r="L214" s="72">
        <v>768.71</v>
      </c>
      <c r="M214" s="72">
        <v>825</v>
      </c>
      <c r="N214" s="40"/>
      <c r="O214" s="71">
        <v>0.5</v>
      </c>
      <c r="P214" s="14">
        <f>Table2[[#This Row],[Sale Cost]]-Table2[[#This Row],[Fare Cost]]</f>
        <v>56.289999999999964</v>
      </c>
      <c r="Q214" s="162">
        <f>MONTH(Table2[[#This Row],[Issued date]])</f>
        <v>10</v>
      </c>
      <c r="R214" s="3" t="s">
        <v>426</v>
      </c>
      <c r="S214" s="162"/>
    </row>
    <row r="215" spans="2:19">
      <c r="B215" s="33" t="s">
        <v>344</v>
      </c>
      <c r="C215" s="34" t="s">
        <v>496</v>
      </c>
      <c r="D215" s="35" t="s">
        <v>63</v>
      </c>
      <c r="E215" s="36">
        <v>45951</v>
      </c>
      <c r="F215" s="37">
        <v>45958</v>
      </c>
      <c r="G215" s="38"/>
      <c r="H215" s="75"/>
      <c r="I215" s="9" t="s">
        <v>21</v>
      </c>
      <c r="J215" s="32">
        <v>45944</v>
      </c>
      <c r="K215" s="32" t="s">
        <v>22</v>
      </c>
      <c r="L215" s="72">
        <v>853.56</v>
      </c>
      <c r="M215" s="72">
        <v>905</v>
      </c>
      <c r="N215" s="40"/>
      <c r="O215" s="71">
        <v>1</v>
      </c>
      <c r="P215" s="14">
        <f>Table2[[#This Row],[Sale Cost]]-Table2[[#This Row],[Fare Cost]]</f>
        <v>51.440000000000055</v>
      </c>
      <c r="Q215" s="162">
        <f>MONTH(Table2[[#This Row],[Issued date]])</f>
        <v>10</v>
      </c>
      <c r="R215" s="3" t="s">
        <v>420</v>
      </c>
      <c r="S215" s="162"/>
    </row>
    <row r="216" spans="2:19" s="50" customFormat="1">
      <c r="B216" s="33" t="s">
        <v>427</v>
      </c>
      <c r="C216" s="34" t="s">
        <v>428</v>
      </c>
      <c r="D216" s="35" t="s">
        <v>22</v>
      </c>
      <c r="E216" s="36">
        <v>45684</v>
      </c>
      <c r="F216" s="37"/>
      <c r="G216" s="38"/>
      <c r="H216" s="75"/>
      <c r="I216" s="9" t="s">
        <v>21</v>
      </c>
      <c r="J216" s="32">
        <v>45945</v>
      </c>
      <c r="K216" s="123" t="s">
        <v>47</v>
      </c>
      <c r="L216" s="72">
        <v>110</v>
      </c>
      <c r="M216" s="72">
        <v>195</v>
      </c>
      <c r="N216" s="40"/>
      <c r="O216" s="71">
        <f>1*0.5</f>
        <v>0.5</v>
      </c>
      <c r="P216" s="14">
        <f>Table2[[#This Row],[Sale Cost]]-Table2[[#This Row],[Fare Cost]]</f>
        <v>85</v>
      </c>
      <c r="Q216" s="162">
        <f>MONTH(Table2[[#This Row],[Issued date]])</f>
        <v>10</v>
      </c>
      <c r="R216" s="3" t="s">
        <v>420</v>
      </c>
      <c r="S216" s="162"/>
    </row>
    <row r="217" spans="2:19">
      <c r="B217" s="33" t="s">
        <v>497</v>
      </c>
      <c r="C217" s="34" t="s">
        <v>498</v>
      </c>
      <c r="D217" s="35" t="s">
        <v>33</v>
      </c>
      <c r="E217" s="36">
        <v>45970</v>
      </c>
      <c r="F217" s="37"/>
      <c r="G217" s="38"/>
      <c r="H217" s="75"/>
      <c r="I217" s="9" t="s">
        <v>21</v>
      </c>
      <c r="J217" s="32">
        <v>45946</v>
      </c>
      <c r="K217" s="32" t="s">
        <v>22</v>
      </c>
      <c r="L217" s="72">
        <v>733.22</v>
      </c>
      <c r="M217" s="72">
        <v>795</v>
      </c>
      <c r="N217" s="40"/>
      <c r="O217" s="71">
        <v>0.5</v>
      </c>
      <c r="P217" s="14">
        <f>Table2[[#This Row],[Sale Cost]]-Table2[[#This Row],[Fare Cost]]</f>
        <v>61.779999999999973</v>
      </c>
      <c r="Q217" s="162">
        <f>MONTH(Table2[[#This Row],[Issued date]])</f>
        <v>10</v>
      </c>
      <c r="R217" s="3" t="s">
        <v>426</v>
      </c>
      <c r="S217" s="162"/>
    </row>
    <row r="218" spans="2:19">
      <c r="B218" s="33" t="s">
        <v>499</v>
      </c>
      <c r="C218" s="34" t="s">
        <v>500</v>
      </c>
      <c r="D218" s="35" t="s">
        <v>33</v>
      </c>
      <c r="E218" s="36">
        <v>45993</v>
      </c>
      <c r="F218" s="37">
        <v>46019</v>
      </c>
      <c r="G218" s="38"/>
      <c r="H218" s="75"/>
      <c r="I218" s="9" t="s">
        <v>21</v>
      </c>
      <c r="J218" s="32">
        <v>45947</v>
      </c>
      <c r="K218" s="32" t="s">
        <v>22</v>
      </c>
      <c r="L218" s="72">
        <v>988.44</v>
      </c>
      <c r="M218" s="72">
        <v>1150</v>
      </c>
      <c r="N218" s="40"/>
      <c r="O218" s="71">
        <v>1</v>
      </c>
      <c r="P218" s="14">
        <f>Table2[[#This Row],[Sale Cost]]-Table2[[#This Row],[Fare Cost]]</f>
        <v>161.55999999999995</v>
      </c>
      <c r="Q218" s="162">
        <f>MONTH(Table2[[#This Row],[Issued date]])</f>
        <v>10</v>
      </c>
      <c r="R218" s="3" t="s">
        <v>426</v>
      </c>
      <c r="S218" s="162"/>
    </row>
    <row r="219" spans="2:19">
      <c r="B219" s="33" t="s">
        <v>501</v>
      </c>
      <c r="C219" s="34" t="s">
        <v>502</v>
      </c>
      <c r="D219" s="35" t="s">
        <v>26</v>
      </c>
      <c r="E219" s="36">
        <v>45999</v>
      </c>
      <c r="F219" s="37">
        <v>45662</v>
      </c>
      <c r="G219" s="38"/>
      <c r="H219" s="75"/>
      <c r="I219" s="9" t="s">
        <v>21</v>
      </c>
      <c r="J219" s="32">
        <v>45948</v>
      </c>
      <c r="K219" s="32" t="s">
        <v>22</v>
      </c>
      <c r="L219" s="72">
        <v>1764.72</v>
      </c>
      <c r="M219" s="72">
        <v>3112.44</v>
      </c>
      <c r="N219" s="40"/>
      <c r="O219" s="71">
        <v>1</v>
      </c>
      <c r="P219" s="14">
        <f>Table2[[#This Row],[Sale Cost]]-Table2[[#This Row],[Fare Cost]]</f>
        <v>1347.72</v>
      </c>
      <c r="Q219" s="162">
        <f>MONTH(Table2[[#This Row],[Issued date]])</f>
        <v>10</v>
      </c>
      <c r="R219" s="3" t="s">
        <v>426</v>
      </c>
      <c r="S219" s="162"/>
    </row>
    <row r="220" spans="2:19">
      <c r="B220" s="33" t="s">
        <v>364</v>
      </c>
      <c r="C220" s="34" t="s">
        <v>365</v>
      </c>
      <c r="D220" s="35" t="s">
        <v>20</v>
      </c>
      <c r="E220" s="36">
        <v>45985</v>
      </c>
      <c r="F220" s="37"/>
      <c r="G220" s="38"/>
      <c r="H220" s="75"/>
      <c r="I220" s="9" t="s">
        <v>21</v>
      </c>
      <c r="J220" s="32">
        <v>45948</v>
      </c>
      <c r="K220" s="123" t="s">
        <v>47</v>
      </c>
      <c r="L220" s="72">
        <v>191</v>
      </c>
      <c r="M220" s="72">
        <v>320</v>
      </c>
      <c r="N220" s="40"/>
      <c r="O220" s="71">
        <f>1*0.5</f>
        <v>0.5</v>
      </c>
      <c r="P220" s="14">
        <f>Table2[[#This Row],[Sale Cost]]-Table2[[#This Row],[Fare Cost]]</f>
        <v>129</v>
      </c>
      <c r="Q220" s="162">
        <f>MONTH(Table2[[#This Row],[Issued date]])</f>
        <v>10</v>
      </c>
      <c r="R220" s="3" t="s">
        <v>420</v>
      </c>
      <c r="S220" s="162"/>
    </row>
    <row r="221" spans="2:19">
      <c r="B221" s="33" t="s">
        <v>503</v>
      </c>
      <c r="C221" s="34" t="s">
        <v>504</v>
      </c>
      <c r="D221" s="35" t="s">
        <v>63</v>
      </c>
      <c r="E221" s="36">
        <v>45956</v>
      </c>
      <c r="F221" s="37">
        <v>45976</v>
      </c>
      <c r="G221" s="38"/>
      <c r="H221" s="75"/>
      <c r="I221" s="9" t="s">
        <v>21</v>
      </c>
      <c r="J221" s="32">
        <v>45951</v>
      </c>
      <c r="K221" s="32" t="s">
        <v>22</v>
      </c>
      <c r="L221" s="72">
        <v>1652.4</v>
      </c>
      <c r="M221" s="72">
        <v>1740</v>
      </c>
      <c r="N221" s="40"/>
      <c r="O221" s="71">
        <v>2</v>
      </c>
      <c r="P221" s="14">
        <f>Table2[[#This Row],[Sale Cost]]-Table2[[#This Row],[Fare Cost]]</f>
        <v>87.599999999999909</v>
      </c>
      <c r="Q221" s="162">
        <f>MONTH(Table2[[#This Row],[Issued date]])</f>
        <v>10</v>
      </c>
      <c r="R221" s="3" t="s">
        <v>420</v>
      </c>
      <c r="S221" s="162"/>
    </row>
    <row r="222" spans="2:19">
      <c r="B222" s="33" t="s">
        <v>505</v>
      </c>
      <c r="C222" s="34" t="s">
        <v>506</v>
      </c>
      <c r="D222" s="35" t="s">
        <v>26</v>
      </c>
      <c r="E222" s="36">
        <v>45969</v>
      </c>
      <c r="F222" s="37">
        <v>45990</v>
      </c>
      <c r="G222" s="38"/>
      <c r="H222" s="75"/>
      <c r="I222" s="9" t="s">
        <v>21</v>
      </c>
      <c r="J222" s="32">
        <v>45951</v>
      </c>
      <c r="K222" s="32" t="s">
        <v>22</v>
      </c>
      <c r="L222" s="72">
        <v>591.41999999999996</v>
      </c>
      <c r="M222" s="72">
        <v>645</v>
      </c>
      <c r="N222" s="40"/>
      <c r="O222" s="71">
        <v>1</v>
      </c>
      <c r="P222" s="14">
        <f>Table2[[#This Row],[Sale Cost]]-Table2[[#This Row],[Fare Cost]]</f>
        <v>53.580000000000041</v>
      </c>
      <c r="Q222" s="162">
        <f>MONTH(Table2[[#This Row],[Issued date]])</f>
        <v>10</v>
      </c>
      <c r="R222" s="3" t="s">
        <v>420</v>
      </c>
      <c r="S222" s="162"/>
    </row>
    <row r="223" spans="2:19">
      <c r="B223" s="33" t="s">
        <v>507</v>
      </c>
      <c r="C223" s="34" t="s">
        <v>508</v>
      </c>
      <c r="D223" s="35" t="s">
        <v>89</v>
      </c>
      <c r="E223" s="36">
        <v>45987</v>
      </c>
      <c r="F223" s="37"/>
      <c r="G223" s="38"/>
      <c r="H223" s="75"/>
      <c r="I223" s="9" t="s">
        <v>21</v>
      </c>
      <c r="J223" s="32">
        <v>45952</v>
      </c>
      <c r="K223" s="32" t="s">
        <v>22</v>
      </c>
      <c r="L223" s="72">
        <v>617.20000000000005</v>
      </c>
      <c r="M223" s="72">
        <v>730</v>
      </c>
      <c r="N223" s="40"/>
      <c r="O223" s="71">
        <v>1</v>
      </c>
      <c r="P223" s="14">
        <f>Table2[[#This Row],[Sale Cost]]-Table2[[#This Row],[Fare Cost]]</f>
        <v>112.79999999999995</v>
      </c>
      <c r="Q223" s="162">
        <f>MONTH(Table2[[#This Row],[Issued date]])</f>
        <v>10</v>
      </c>
      <c r="R223" s="3" t="s">
        <v>426</v>
      </c>
      <c r="S223" s="162"/>
    </row>
    <row r="224" spans="2:19">
      <c r="B224" s="33" t="s">
        <v>509</v>
      </c>
      <c r="C224" s="34" t="s">
        <v>510</v>
      </c>
      <c r="D224" s="35" t="s">
        <v>33</v>
      </c>
      <c r="E224" s="36">
        <v>45972</v>
      </c>
      <c r="F224" s="37">
        <v>45684</v>
      </c>
      <c r="G224" s="38"/>
      <c r="H224" s="75"/>
      <c r="I224" s="9" t="s">
        <v>21</v>
      </c>
      <c r="J224" s="32">
        <v>45952</v>
      </c>
      <c r="K224" s="32" t="s">
        <v>22</v>
      </c>
      <c r="L224" s="72">
        <v>793.24</v>
      </c>
      <c r="M224" s="72">
        <v>890</v>
      </c>
      <c r="N224" s="40"/>
      <c r="O224" s="71">
        <v>2</v>
      </c>
      <c r="P224" s="14">
        <f>Table2[[#This Row],[Sale Cost]]-Table2[[#This Row],[Fare Cost]]</f>
        <v>96.759999999999991</v>
      </c>
      <c r="Q224" s="162">
        <f>MONTH(Table2[[#This Row],[Issued date]])</f>
        <v>10</v>
      </c>
      <c r="R224" s="3" t="s">
        <v>420</v>
      </c>
      <c r="S224" s="162"/>
    </row>
    <row r="225" spans="2:19">
      <c r="B225" s="33" t="s">
        <v>342</v>
      </c>
      <c r="C225" s="34" t="s">
        <v>343</v>
      </c>
      <c r="D225" s="35" t="s">
        <v>20</v>
      </c>
      <c r="E225" s="36">
        <v>45996</v>
      </c>
      <c r="F225" s="37"/>
      <c r="G225" s="38"/>
      <c r="H225" s="75"/>
      <c r="I225" s="9" t="s">
        <v>21</v>
      </c>
      <c r="J225" s="32">
        <v>45954</v>
      </c>
      <c r="K225" s="123" t="s">
        <v>47</v>
      </c>
      <c r="L225" s="72">
        <v>65</v>
      </c>
      <c r="M225" s="72">
        <v>195</v>
      </c>
      <c r="N225" s="40"/>
      <c r="O225" s="71">
        <f>1*0.5</f>
        <v>0.5</v>
      </c>
      <c r="P225" s="14">
        <f>Table2[[#This Row],[Sale Cost]]-Table2[[#This Row],[Fare Cost]]</f>
        <v>130</v>
      </c>
      <c r="Q225" s="162">
        <f>MONTH(Table2[[#This Row],[Issued date]])</f>
        <v>10</v>
      </c>
      <c r="R225" s="3" t="s">
        <v>420</v>
      </c>
      <c r="S225" s="162"/>
    </row>
    <row r="226" spans="2:19">
      <c r="B226" s="33" t="s">
        <v>511</v>
      </c>
      <c r="C226" s="34" t="s">
        <v>512</v>
      </c>
      <c r="D226" s="35" t="s">
        <v>26</v>
      </c>
      <c r="E226" s="36">
        <v>45958</v>
      </c>
      <c r="F226" s="37">
        <v>46000</v>
      </c>
      <c r="G226" s="38"/>
      <c r="H226" s="75"/>
      <c r="I226" s="9" t="s">
        <v>21</v>
      </c>
      <c r="J226" s="32">
        <v>45954</v>
      </c>
      <c r="K226" s="32" t="s">
        <v>22</v>
      </c>
      <c r="L226" s="72">
        <v>856.82</v>
      </c>
      <c r="M226" s="72">
        <v>925</v>
      </c>
      <c r="N226" s="40"/>
      <c r="O226" s="71">
        <v>0.5</v>
      </c>
      <c r="P226" s="14">
        <f>Table2[[#This Row],[Sale Cost]]-Table2[[#This Row],[Fare Cost]]</f>
        <v>68.17999999999995</v>
      </c>
      <c r="Q226" s="162">
        <f>MONTH(Table2[[#This Row],[Issued date]])</f>
        <v>10</v>
      </c>
      <c r="R226" s="3" t="s">
        <v>426</v>
      </c>
      <c r="S226" s="162"/>
    </row>
    <row r="227" spans="2:19">
      <c r="B227" s="33" t="s">
        <v>513</v>
      </c>
      <c r="C227" s="34" t="s">
        <v>514</v>
      </c>
      <c r="D227" s="35" t="s">
        <v>33</v>
      </c>
      <c r="E227" s="36">
        <v>45981</v>
      </c>
      <c r="F227" s="37">
        <v>45975</v>
      </c>
      <c r="G227" s="38"/>
      <c r="H227" s="75"/>
      <c r="I227" s="98" t="s">
        <v>21</v>
      </c>
      <c r="J227" s="32">
        <v>45955</v>
      </c>
      <c r="K227" s="32" t="s">
        <v>22</v>
      </c>
      <c r="L227" s="72">
        <v>620.02</v>
      </c>
      <c r="M227" s="72">
        <v>695</v>
      </c>
      <c r="N227" s="40"/>
      <c r="O227" s="71">
        <v>0.5</v>
      </c>
      <c r="P227" s="14">
        <f>Table2[[#This Row],[Sale Cost]]-Table2[[#This Row],[Fare Cost]]</f>
        <v>74.980000000000018</v>
      </c>
      <c r="Q227" s="162"/>
      <c r="R227" s="3" t="s">
        <v>426</v>
      </c>
      <c r="S227" s="162"/>
    </row>
    <row r="228" spans="2:19">
      <c r="B228" s="33" t="s">
        <v>515</v>
      </c>
      <c r="C228" s="34" t="s">
        <v>516</v>
      </c>
      <c r="D228" s="35" t="s">
        <v>30</v>
      </c>
      <c r="E228" s="36">
        <v>45955</v>
      </c>
      <c r="F228" s="37">
        <v>45976</v>
      </c>
      <c r="G228" s="38"/>
      <c r="H228" s="75"/>
      <c r="I228" s="98" t="s">
        <v>21</v>
      </c>
      <c r="J228" s="32">
        <v>45954</v>
      </c>
      <c r="K228" s="32" t="s">
        <v>22</v>
      </c>
      <c r="L228" s="72">
        <v>2599.64</v>
      </c>
      <c r="M228" s="72">
        <v>2790</v>
      </c>
      <c r="N228" s="40"/>
      <c r="O228" s="71">
        <v>2</v>
      </c>
      <c r="P228" s="14">
        <f>Table2[[#This Row],[Sale Cost]]-Table2[[#This Row],[Fare Cost]]</f>
        <v>190.36000000000013</v>
      </c>
      <c r="Q228" s="162"/>
      <c r="R228" s="3" t="s">
        <v>420</v>
      </c>
      <c r="S228" s="162"/>
    </row>
    <row r="229" spans="2:19">
      <c r="B229" s="33" t="s">
        <v>517</v>
      </c>
      <c r="C229" s="34" t="s">
        <v>518</v>
      </c>
      <c r="D229" s="35" t="s">
        <v>20</v>
      </c>
      <c r="E229" s="36">
        <v>45661</v>
      </c>
      <c r="F229" s="37">
        <v>45704</v>
      </c>
      <c r="G229" s="38"/>
      <c r="H229" s="75"/>
      <c r="I229" s="9" t="s">
        <v>21</v>
      </c>
      <c r="J229" s="32">
        <v>45954</v>
      </c>
      <c r="K229" s="32" t="s">
        <v>22</v>
      </c>
      <c r="L229" s="72">
        <v>831.86</v>
      </c>
      <c r="M229" s="72">
        <v>930</v>
      </c>
      <c r="N229" s="40"/>
      <c r="O229" s="71">
        <v>2</v>
      </c>
      <c r="P229" s="14">
        <f>Table2[[#This Row],[Sale Cost]]-Table2[[#This Row],[Fare Cost]]</f>
        <v>98.139999999999986</v>
      </c>
      <c r="Q229" s="162">
        <f>MONTH(Table2[[#This Row],[Issued date]])</f>
        <v>10</v>
      </c>
      <c r="R229" s="3" t="s">
        <v>420</v>
      </c>
      <c r="S229" s="162"/>
    </row>
    <row r="230" spans="2:19">
      <c r="B230" s="33" t="s">
        <v>519</v>
      </c>
      <c r="C230" s="34" t="s">
        <v>520</v>
      </c>
      <c r="D230" s="35" t="s">
        <v>20</v>
      </c>
      <c r="E230" s="36">
        <v>45661</v>
      </c>
      <c r="F230" s="37">
        <v>45669</v>
      </c>
      <c r="G230" s="38"/>
      <c r="H230" s="39"/>
      <c r="I230" s="9" t="s">
        <v>21</v>
      </c>
      <c r="J230" s="32">
        <v>45954</v>
      </c>
      <c r="K230" s="32" t="s">
        <v>22</v>
      </c>
      <c r="L230" s="72">
        <v>798.88</v>
      </c>
      <c r="M230" s="72">
        <v>855</v>
      </c>
      <c r="N230" s="40"/>
      <c r="O230" s="71">
        <v>1</v>
      </c>
      <c r="P230" s="14">
        <f>Table2[[#This Row],[Sale Cost]]-Table2[[#This Row],[Fare Cost]]</f>
        <v>56.120000000000005</v>
      </c>
      <c r="Q230" s="162">
        <f>MONTH(Table2[[#This Row],[Issued date]])</f>
        <v>10</v>
      </c>
      <c r="R230" s="3" t="s">
        <v>420</v>
      </c>
      <c r="S230" s="162"/>
    </row>
    <row r="231" spans="2:19">
      <c r="B231" s="33" t="s">
        <v>519</v>
      </c>
      <c r="C231" s="34" t="s">
        <v>521</v>
      </c>
      <c r="D231" s="35" t="s">
        <v>20</v>
      </c>
      <c r="E231" s="36">
        <v>45697</v>
      </c>
      <c r="F231" s="37">
        <v>45704</v>
      </c>
      <c r="G231" s="38"/>
      <c r="H231" s="39"/>
      <c r="I231" s="9" t="s">
        <v>21</v>
      </c>
      <c r="J231" s="32">
        <v>45954</v>
      </c>
      <c r="K231" s="32" t="s">
        <v>22</v>
      </c>
      <c r="L231" s="72">
        <v>702.22</v>
      </c>
      <c r="M231" s="72">
        <v>755</v>
      </c>
      <c r="N231" s="40"/>
      <c r="O231" s="71">
        <v>1</v>
      </c>
      <c r="P231" s="14">
        <f>Table2[[#This Row],[Sale Cost]]-Table2[[#This Row],[Fare Cost]]</f>
        <v>52.779999999999973</v>
      </c>
      <c r="Q231" s="162">
        <f>MONTH(Table2[[#This Row],[Issued date]])</f>
        <v>10</v>
      </c>
      <c r="R231" s="3" t="s">
        <v>420</v>
      </c>
      <c r="S231" s="162"/>
    </row>
    <row r="232" spans="2:19">
      <c r="B232" s="33" t="s">
        <v>513</v>
      </c>
      <c r="C232" s="34" t="s">
        <v>514</v>
      </c>
      <c r="D232" s="35" t="s">
        <v>33</v>
      </c>
      <c r="E232" s="36">
        <v>45981</v>
      </c>
      <c r="F232" s="37">
        <v>45671</v>
      </c>
      <c r="G232" s="38"/>
      <c r="H232" s="75"/>
      <c r="I232" s="9" t="s">
        <v>21</v>
      </c>
      <c r="J232" s="32">
        <v>45955</v>
      </c>
      <c r="K232" s="32" t="s">
        <v>22</v>
      </c>
      <c r="L232" s="72">
        <v>620.12</v>
      </c>
      <c r="M232" s="72">
        <v>700</v>
      </c>
      <c r="N232" s="40"/>
      <c r="O232" s="71">
        <v>0.5</v>
      </c>
      <c r="P232" s="14">
        <f>Table2[[#This Row],[Sale Cost]]-Table2[[#This Row],[Fare Cost]]</f>
        <v>79.88</v>
      </c>
      <c r="Q232" s="162">
        <f>MONTH(Table2[[#This Row],[Issued date]])</f>
        <v>10</v>
      </c>
      <c r="R232" s="3" t="s">
        <v>426</v>
      </c>
      <c r="S232" s="162"/>
    </row>
    <row r="233" spans="2:19">
      <c r="B233" s="33" t="s">
        <v>522</v>
      </c>
      <c r="C233" s="34" t="s">
        <v>523</v>
      </c>
      <c r="D233" s="35" t="s">
        <v>63</v>
      </c>
      <c r="E233" s="36">
        <v>45958</v>
      </c>
      <c r="F233" s="37">
        <v>45972</v>
      </c>
      <c r="G233" s="38"/>
      <c r="H233" s="75"/>
      <c r="I233" s="9" t="s">
        <v>21</v>
      </c>
      <c r="J233" s="32">
        <v>45957</v>
      </c>
      <c r="K233" s="32" t="s">
        <v>22</v>
      </c>
      <c r="L233" s="72">
        <v>789.11</v>
      </c>
      <c r="M233" s="72">
        <v>895</v>
      </c>
      <c r="N233" s="40"/>
      <c r="O233" s="71">
        <v>1</v>
      </c>
      <c r="P233" s="14">
        <f>Table2[[#This Row],[Sale Cost]]-Table2[[#This Row],[Fare Cost]]</f>
        <v>105.88999999999999</v>
      </c>
      <c r="Q233" s="162">
        <f>MONTH(Table2[[#This Row],[Issued date]])</f>
        <v>10</v>
      </c>
      <c r="R233" s="3" t="s">
        <v>420</v>
      </c>
      <c r="S233" s="162"/>
    </row>
    <row r="234" spans="2:19">
      <c r="B234" s="33" t="s">
        <v>369</v>
      </c>
      <c r="C234" s="34" t="s">
        <v>370</v>
      </c>
      <c r="D234" s="35" t="s">
        <v>20</v>
      </c>
      <c r="E234" s="36">
        <v>45894</v>
      </c>
      <c r="F234" s="37">
        <v>45985</v>
      </c>
      <c r="G234" s="38"/>
      <c r="H234" s="75"/>
      <c r="I234" s="9" t="s">
        <v>21</v>
      </c>
      <c r="J234" s="32">
        <v>45957</v>
      </c>
      <c r="K234" s="123" t="s">
        <v>47</v>
      </c>
      <c r="L234" s="72">
        <v>553</v>
      </c>
      <c r="M234" s="72">
        <v>745</v>
      </c>
      <c r="N234" s="40"/>
      <c r="O234" s="71">
        <f>1*0.5</f>
        <v>0.5</v>
      </c>
      <c r="P234" s="14">
        <f>Table2[[#This Row],[Sale Cost]]-Table2[[#This Row],[Fare Cost]]</f>
        <v>192</v>
      </c>
      <c r="Q234" s="162">
        <f>MONTH(Table2[[#This Row],[Issued date]])</f>
        <v>10</v>
      </c>
      <c r="R234" s="3" t="s">
        <v>420</v>
      </c>
      <c r="S234" s="162"/>
    </row>
    <row r="235" spans="2:19">
      <c r="B235" s="33" t="s">
        <v>176</v>
      </c>
      <c r="C235" s="34" t="s">
        <v>524</v>
      </c>
      <c r="D235" s="35" t="s">
        <v>33</v>
      </c>
      <c r="E235" s="36">
        <v>45848</v>
      </c>
      <c r="F235" s="37">
        <v>45898</v>
      </c>
      <c r="G235" s="38"/>
      <c r="H235" s="75"/>
      <c r="I235" s="9" t="s">
        <v>21</v>
      </c>
      <c r="J235" s="32">
        <v>45957</v>
      </c>
      <c r="K235" s="32" t="s">
        <v>22</v>
      </c>
      <c r="L235" s="72">
        <v>3668.84</v>
      </c>
      <c r="M235" s="72">
        <v>4025</v>
      </c>
      <c r="N235" s="40"/>
      <c r="O235" s="71">
        <v>4</v>
      </c>
      <c r="P235" s="14">
        <f>Table2[[#This Row],[Sale Cost]]-Table2[[#This Row],[Fare Cost]]</f>
        <v>356.15999999999985</v>
      </c>
      <c r="Q235" s="162">
        <f>MONTH(Table2[[#This Row],[Issued date]])</f>
        <v>10</v>
      </c>
      <c r="R235" s="3" t="s">
        <v>426</v>
      </c>
      <c r="S235" s="162"/>
    </row>
    <row r="236" spans="2:19">
      <c r="B236" s="33" t="s">
        <v>525</v>
      </c>
      <c r="C236" s="34" t="s">
        <v>526</v>
      </c>
      <c r="D236" s="35" t="s">
        <v>33</v>
      </c>
      <c r="E236" s="36">
        <v>45995</v>
      </c>
      <c r="F236" s="37">
        <v>45673</v>
      </c>
      <c r="G236" s="38"/>
      <c r="H236" s="75"/>
      <c r="I236" s="9" t="s">
        <v>21</v>
      </c>
      <c r="J236" s="32">
        <v>45957</v>
      </c>
      <c r="K236" s="32" t="s">
        <v>22</v>
      </c>
      <c r="L236" s="72">
        <v>1046.24</v>
      </c>
      <c r="M236" s="72">
        <v>1190</v>
      </c>
      <c r="N236" s="40"/>
      <c r="O236" s="71">
        <v>2</v>
      </c>
      <c r="P236" s="14">
        <f>Table2[[#This Row],[Sale Cost]]-Table2[[#This Row],[Fare Cost]]</f>
        <v>143.76</v>
      </c>
      <c r="Q236" s="162">
        <f>MONTH(Table2[[#This Row],[Issued date]])</f>
        <v>10</v>
      </c>
      <c r="R236" s="3" t="s">
        <v>420</v>
      </c>
      <c r="S236" s="162"/>
    </row>
    <row r="237" spans="2:19">
      <c r="B237" s="33" t="s">
        <v>527</v>
      </c>
      <c r="C237" s="34" t="s">
        <v>528</v>
      </c>
      <c r="D237" s="35" t="s">
        <v>359</v>
      </c>
      <c r="E237" s="36">
        <v>45975</v>
      </c>
      <c r="F237" s="37">
        <v>45989</v>
      </c>
      <c r="G237" s="38"/>
      <c r="H237" s="75"/>
      <c r="I237" s="9" t="s">
        <v>21</v>
      </c>
      <c r="J237" s="32">
        <v>45958</v>
      </c>
      <c r="K237" s="32" t="s">
        <v>22</v>
      </c>
      <c r="L237" s="72">
        <v>742.64</v>
      </c>
      <c r="M237" s="72">
        <v>890</v>
      </c>
      <c r="N237" s="40"/>
      <c r="O237" s="71">
        <v>1</v>
      </c>
      <c r="P237" s="14">
        <f>Table2[[#This Row],[Sale Cost]]-Table2[[#This Row],[Fare Cost]]</f>
        <v>147.36000000000001</v>
      </c>
      <c r="Q237" s="162">
        <f>MONTH(Table2[[#This Row],[Issued date]])</f>
        <v>10</v>
      </c>
      <c r="R237" s="3" t="s">
        <v>426</v>
      </c>
      <c r="S237" s="162"/>
    </row>
    <row r="238" spans="2:19">
      <c r="B238" s="33" t="s">
        <v>529</v>
      </c>
      <c r="C238" s="34" t="s">
        <v>530</v>
      </c>
      <c r="D238" s="35" t="s">
        <v>26</v>
      </c>
      <c r="E238" s="36">
        <v>45992</v>
      </c>
      <c r="F238" s="37">
        <v>46019</v>
      </c>
      <c r="G238" s="38"/>
      <c r="H238" s="75"/>
      <c r="I238" s="9" t="s">
        <v>21</v>
      </c>
      <c r="J238" s="32">
        <v>45959</v>
      </c>
      <c r="K238" s="32" t="s">
        <v>22</v>
      </c>
      <c r="L238" s="72">
        <v>2911.1</v>
      </c>
      <c r="M238" s="72">
        <v>3195</v>
      </c>
      <c r="N238" s="40"/>
      <c r="O238" s="71">
        <v>5</v>
      </c>
      <c r="P238" s="14">
        <f>Table2[[#This Row],[Sale Cost]]-Table2[[#This Row],[Fare Cost]]</f>
        <v>283.90000000000009</v>
      </c>
      <c r="Q238" s="162">
        <f>MONTH(Table2[[#This Row],[Issued date]])</f>
        <v>10</v>
      </c>
      <c r="R238" s="3" t="s">
        <v>420</v>
      </c>
      <c r="S238" s="162"/>
    </row>
    <row r="239" spans="2:19">
      <c r="B239" s="33" t="s">
        <v>531</v>
      </c>
      <c r="C239" s="34" t="s">
        <v>532</v>
      </c>
      <c r="D239" s="35" t="s">
        <v>26</v>
      </c>
      <c r="E239" s="36">
        <v>45995</v>
      </c>
      <c r="F239" s="37">
        <v>45663</v>
      </c>
      <c r="G239" s="38"/>
      <c r="H239" s="75"/>
      <c r="I239" s="9" t="s">
        <v>21</v>
      </c>
      <c r="J239" s="32">
        <v>45960</v>
      </c>
      <c r="K239" s="32" t="s">
        <v>22</v>
      </c>
      <c r="L239" s="72">
        <v>795.52</v>
      </c>
      <c r="M239" s="72">
        <v>850</v>
      </c>
      <c r="N239" s="40"/>
      <c r="O239" s="71">
        <v>0.5</v>
      </c>
      <c r="P239" s="14">
        <f>Table2[[#This Row],[Sale Cost]]-Table2[[#This Row],[Fare Cost]]</f>
        <v>54.480000000000018</v>
      </c>
      <c r="Q239" s="162">
        <f>MONTH(Table2[[#This Row],[Issued date]])</f>
        <v>10</v>
      </c>
      <c r="R239" s="3" t="s">
        <v>426</v>
      </c>
      <c r="S239" s="162"/>
    </row>
    <row r="240" spans="2:19">
      <c r="B240" s="33" t="s">
        <v>533</v>
      </c>
      <c r="C240" s="34" t="s">
        <v>534</v>
      </c>
      <c r="D240" s="35" t="s">
        <v>63</v>
      </c>
      <c r="E240" s="36">
        <v>45970</v>
      </c>
      <c r="F240" s="37">
        <v>45973</v>
      </c>
      <c r="G240" s="38"/>
      <c r="H240" s="75"/>
      <c r="I240" s="9" t="s">
        <v>21</v>
      </c>
      <c r="J240" s="32">
        <v>45960</v>
      </c>
      <c r="K240" s="32" t="s">
        <v>22</v>
      </c>
      <c r="L240" s="72">
        <v>395.4</v>
      </c>
      <c r="M240" s="72">
        <v>465</v>
      </c>
      <c r="N240" s="40"/>
      <c r="O240" s="71">
        <v>1</v>
      </c>
      <c r="P240" s="14">
        <f>Table2[[#This Row],[Sale Cost]]-Table2[[#This Row],[Fare Cost]]</f>
        <v>69.600000000000023</v>
      </c>
      <c r="Q240" s="162">
        <f>MONTH(Table2[[#This Row],[Issued date]])</f>
        <v>10</v>
      </c>
      <c r="R240" s="3" t="s">
        <v>420</v>
      </c>
      <c r="S240" s="162"/>
    </row>
    <row r="241" spans="2:19">
      <c r="B241" s="33" t="s">
        <v>535</v>
      </c>
      <c r="C241" s="34" t="s">
        <v>536</v>
      </c>
      <c r="D241" s="35" t="s">
        <v>63</v>
      </c>
      <c r="E241" s="36">
        <v>45963</v>
      </c>
      <c r="F241" s="37"/>
      <c r="G241" s="38"/>
      <c r="H241" s="75"/>
      <c r="I241" s="9" t="s">
        <v>21</v>
      </c>
      <c r="J241" s="32">
        <v>45960</v>
      </c>
      <c r="K241" s="32" t="s">
        <v>22</v>
      </c>
      <c r="L241" s="72">
        <v>582.91</v>
      </c>
      <c r="M241" s="72">
        <v>660</v>
      </c>
      <c r="N241" s="40"/>
      <c r="O241" s="71">
        <v>0.5</v>
      </c>
      <c r="P241" s="14">
        <f>Table2[[#This Row],[Sale Cost]]-Table2[[#This Row],[Fare Cost]]</f>
        <v>77.090000000000032</v>
      </c>
      <c r="Q241" s="162">
        <f>MONTH(Table2[[#This Row],[Issued date]])</f>
        <v>10</v>
      </c>
      <c r="R241" s="3" t="s">
        <v>426</v>
      </c>
      <c r="S241" s="162"/>
    </row>
    <row r="242" spans="2:19">
      <c r="B242" s="33" t="s">
        <v>537</v>
      </c>
      <c r="C242" s="34" t="s">
        <v>538</v>
      </c>
      <c r="D242" s="35" t="s">
        <v>26</v>
      </c>
      <c r="E242" s="36">
        <v>45972</v>
      </c>
      <c r="F242" s="37">
        <v>46014</v>
      </c>
      <c r="G242" s="38"/>
      <c r="H242" s="75"/>
      <c r="I242" s="9" t="s">
        <v>21</v>
      </c>
      <c r="J242" s="32">
        <v>45960</v>
      </c>
      <c r="K242" s="32" t="s">
        <v>22</v>
      </c>
      <c r="L242" s="72">
        <v>590.52</v>
      </c>
      <c r="M242" s="72">
        <v>650</v>
      </c>
      <c r="N242" s="40"/>
      <c r="O242" s="71">
        <v>0.5</v>
      </c>
      <c r="P242" s="14">
        <f>Table2[[#This Row],[Sale Cost]]-Table2[[#This Row],[Fare Cost]]</f>
        <v>59.480000000000018</v>
      </c>
      <c r="Q242" s="162">
        <f>MONTH(Table2[[#This Row],[Issued date]])</f>
        <v>10</v>
      </c>
      <c r="R242" s="3" t="s">
        <v>426</v>
      </c>
      <c r="S242" s="162"/>
    </row>
    <row r="243" spans="2:19" s="176" customFormat="1">
      <c r="B243" s="189" t="s">
        <v>539</v>
      </c>
      <c r="C243" s="190" t="s">
        <v>540</v>
      </c>
      <c r="D243" s="191" t="s">
        <v>26</v>
      </c>
      <c r="E243" s="192">
        <v>45974</v>
      </c>
      <c r="F243" s="193"/>
      <c r="G243" s="194"/>
      <c r="H243" s="195"/>
      <c r="I243" s="183" t="s">
        <v>21</v>
      </c>
      <c r="J243" s="196">
        <v>45963</v>
      </c>
      <c r="K243" s="196" t="s">
        <v>22</v>
      </c>
      <c r="L243" s="197">
        <v>519.5</v>
      </c>
      <c r="M243" s="197">
        <v>575</v>
      </c>
      <c r="N243" s="198"/>
      <c r="O243" s="199">
        <v>1</v>
      </c>
      <c r="P243" s="200">
        <f>Table2[[#This Row],[Sale Cost]]-Table2[[#This Row],[Fare Cost]]</f>
        <v>55.5</v>
      </c>
      <c r="Q243" s="201">
        <f>MONTH(Table2[[#This Row],[Issued date]])</f>
        <v>11</v>
      </c>
      <c r="R243" s="202" t="s">
        <v>420</v>
      </c>
      <c r="S243" s="201"/>
    </row>
    <row r="244" spans="2:19">
      <c r="B244" s="33" t="s">
        <v>541</v>
      </c>
      <c r="C244" s="34" t="s">
        <v>542</v>
      </c>
      <c r="D244" s="35" t="s">
        <v>20</v>
      </c>
      <c r="E244" s="36">
        <v>45999</v>
      </c>
      <c r="F244" s="37"/>
      <c r="G244" s="38"/>
      <c r="H244" s="75"/>
      <c r="I244" s="9" t="s">
        <v>21</v>
      </c>
      <c r="J244" s="32">
        <v>45965</v>
      </c>
      <c r="K244" s="32" t="s">
        <v>22</v>
      </c>
      <c r="L244" s="72">
        <v>722.62</v>
      </c>
      <c r="M244" s="72">
        <v>775</v>
      </c>
      <c r="N244" s="40"/>
      <c r="O244" s="71">
        <v>1</v>
      </c>
      <c r="P244" s="14">
        <f>Table2[[#This Row],[Sale Cost]]-Table2[[#This Row],[Fare Cost]]</f>
        <v>52.379999999999995</v>
      </c>
      <c r="Q244" s="162">
        <f>MONTH(Table2[[#This Row],[Issued date]])</f>
        <v>11</v>
      </c>
      <c r="R244" s="166" t="s">
        <v>426</v>
      </c>
      <c r="S244" s="162"/>
    </row>
    <row r="245" spans="2:19">
      <c r="B245" s="33" t="s">
        <v>543</v>
      </c>
      <c r="C245" s="34" t="s">
        <v>544</v>
      </c>
      <c r="D245" s="35" t="s">
        <v>26</v>
      </c>
      <c r="E245" s="36">
        <v>46000</v>
      </c>
      <c r="F245" s="37"/>
      <c r="G245" s="38"/>
      <c r="H245" s="75"/>
      <c r="I245" s="9" t="s">
        <v>21</v>
      </c>
      <c r="J245" s="32">
        <v>45966</v>
      </c>
      <c r="K245" s="32" t="s">
        <v>22</v>
      </c>
      <c r="L245" s="72">
        <v>423.72</v>
      </c>
      <c r="M245" s="72">
        <v>460</v>
      </c>
      <c r="N245" s="40"/>
      <c r="O245" s="71">
        <v>1</v>
      </c>
      <c r="P245" s="14">
        <f>Table2[[#This Row],[Sale Cost]]-Table2[[#This Row],[Fare Cost]]</f>
        <v>36.279999999999973</v>
      </c>
      <c r="Q245" s="162">
        <f>MONTH(Table2[[#This Row],[Issued date]])</f>
        <v>11</v>
      </c>
      <c r="R245" s="166" t="s">
        <v>426</v>
      </c>
      <c r="S245" s="162"/>
    </row>
    <row r="246" spans="2:19">
      <c r="B246" s="33" t="s">
        <v>190</v>
      </c>
      <c r="C246" s="34" t="s">
        <v>545</v>
      </c>
      <c r="D246" s="35" t="s">
        <v>26</v>
      </c>
      <c r="E246" s="36">
        <v>45974</v>
      </c>
      <c r="F246" s="37">
        <v>45998</v>
      </c>
      <c r="G246" s="38"/>
      <c r="H246" s="75"/>
      <c r="I246" s="9" t="s">
        <v>21</v>
      </c>
      <c r="J246" s="32">
        <v>45967</v>
      </c>
      <c r="K246" s="32" t="s">
        <v>22</v>
      </c>
      <c r="L246" s="72">
        <v>945.12</v>
      </c>
      <c r="M246" s="72">
        <v>1025</v>
      </c>
      <c r="N246" s="40"/>
      <c r="O246" s="71">
        <v>1</v>
      </c>
      <c r="P246" s="14">
        <f>Table2[[#This Row],[Sale Cost]]-Table2[[#This Row],[Fare Cost]]</f>
        <v>79.88</v>
      </c>
      <c r="Q246" s="162">
        <f>MONTH(Table2[[#This Row],[Issued date]])</f>
        <v>11</v>
      </c>
      <c r="R246" s="166" t="s">
        <v>420</v>
      </c>
      <c r="S246" s="162"/>
    </row>
    <row r="247" spans="2:19">
      <c r="B247" s="33" t="s">
        <v>546</v>
      </c>
      <c r="C247" s="34" t="s">
        <v>547</v>
      </c>
      <c r="D247" s="35" t="s">
        <v>33</v>
      </c>
      <c r="E247" s="36">
        <v>45980</v>
      </c>
      <c r="F247" s="37">
        <v>45991</v>
      </c>
      <c r="G247" s="38"/>
      <c r="H247" s="75"/>
      <c r="I247" s="9" t="s">
        <v>21</v>
      </c>
      <c r="J247" s="32">
        <v>45968</v>
      </c>
      <c r="K247" s="32" t="s">
        <v>22</v>
      </c>
      <c r="L247" s="72">
        <v>620.52</v>
      </c>
      <c r="M247" s="72">
        <v>675</v>
      </c>
      <c r="N247" s="40"/>
      <c r="O247" s="71">
        <v>5</v>
      </c>
      <c r="P247" s="14">
        <f>Table2[[#This Row],[Sale Cost]]-Table2[[#This Row],[Fare Cost]]</f>
        <v>54.480000000000018</v>
      </c>
      <c r="Q247" s="162">
        <f>MONTH(Table2[[#This Row],[Issued date]])</f>
        <v>11</v>
      </c>
      <c r="R247" s="166" t="s">
        <v>426</v>
      </c>
      <c r="S247" s="162"/>
    </row>
    <row r="248" spans="2:19">
      <c r="B248" s="33" t="s">
        <v>479</v>
      </c>
      <c r="C248" s="34" t="s">
        <v>480</v>
      </c>
      <c r="D248" s="35" t="s">
        <v>20</v>
      </c>
      <c r="E248" s="36">
        <v>45943</v>
      </c>
      <c r="F248" s="37">
        <v>45973</v>
      </c>
      <c r="G248" s="38"/>
      <c r="H248" s="75"/>
      <c r="I248" s="9" t="s">
        <v>21</v>
      </c>
      <c r="J248" s="32">
        <v>45968</v>
      </c>
      <c r="K248" s="123" t="s">
        <v>47</v>
      </c>
      <c r="L248" s="72">
        <v>160</v>
      </c>
      <c r="M248" s="72">
        <v>295</v>
      </c>
      <c r="N248" s="40"/>
      <c r="O248" s="71">
        <v>1</v>
      </c>
      <c r="P248" s="14">
        <f>Table2[[#This Row],[Sale Cost]]-Table2[[#This Row],[Fare Cost]]</f>
        <v>135</v>
      </c>
      <c r="Q248" s="162">
        <f>MONTH(Table2[[#This Row],[Issued date]])</f>
        <v>11</v>
      </c>
      <c r="R248" s="166" t="s">
        <v>420</v>
      </c>
      <c r="S248" s="162"/>
    </row>
    <row r="249" spans="2:19">
      <c r="B249" s="33" t="s">
        <v>181</v>
      </c>
      <c r="C249" s="34" t="s">
        <v>548</v>
      </c>
      <c r="D249" s="35" t="s">
        <v>20</v>
      </c>
      <c r="E249" s="36">
        <v>45986</v>
      </c>
      <c r="F249" s="37">
        <v>45803</v>
      </c>
      <c r="G249" s="38"/>
      <c r="H249" s="75"/>
      <c r="I249" s="9" t="s">
        <v>21</v>
      </c>
      <c r="J249" s="32">
        <v>45970</v>
      </c>
      <c r="K249" s="32" t="s">
        <v>22</v>
      </c>
      <c r="L249" s="72">
        <v>682.28</v>
      </c>
      <c r="M249" s="72">
        <v>755</v>
      </c>
      <c r="N249" s="40"/>
      <c r="O249" s="71">
        <v>1</v>
      </c>
      <c r="P249" s="14">
        <f>Table2[[#This Row],[Sale Cost]]-Table2[[#This Row],[Fare Cost]]</f>
        <v>72.720000000000027</v>
      </c>
      <c r="Q249" s="162"/>
      <c r="R249" s="166" t="s">
        <v>420</v>
      </c>
      <c r="S249" s="162"/>
    </row>
    <row r="250" spans="2:19">
      <c r="B250" s="33" t="s">
        <v>549</v>
      </c>
      <c r="C250" s="34" t="s">
        <v>550</v>
      </c>
      <c r="D250" s="35" t="s">
        <v>20</v>
      </c>
      <c r="E250" s="36">
        <v>45972</v>
      </c>
      <c r="F250" s="37">
        <v>45990</v>
      </c>
      <c r="G250" s="38"/>
      <c r="H250" s="75"/>
      <c r="I250" s="9" t="s">
        <v>21</v>
      </c>
      <c r="J250" s="32">
        <v>45971</v>
      </c>
      <c r="K250" s="32" t="s">
        <v>22</v>
      </c>
      <c r="L250" s="72">
        <v>1016.28</v>
      </c>
      <c r="M250" s="72">
        <v>1095</v>
      </c>
      <c r="N250" s="40"/>
      <c r="O250" s="71">
        <v>2</v>
      </c>
      <c r="P250" s="14">
        <f>Table2[[#This Row],[Sale Cost]]-Table2[[#This Row],[Fare Cost]]</f>
        <v>78.720000000000027</v>
      </c>
      <c r="Q250" s="162"/>
      <c r="R250" s="166" t="s">
        <v>426</v>
      </c>
      <c r="S250" s="162"/>
    </row>
    <row r="251" spans="2:19">
      <c r="B251" s="33" t="s">
        <v>551</v>
      </c>
      <c r="C251" s="34" t="s">
        <v>552</v>
      </c>
      <c r="D251" s="35" t="s">
        <v>20</v>
      </c>
      <c r="E251" s="36">
        <v>45688</v>
      </c>
      <c r="F251" s="37"/>
      <c r="G251" s="38"/>
      <c r="H251" s="75"/>
      <c r="I251" s="9" t="s">
        <v>21</v>
      </c>
      <c r="J251" s="32">
        <v>45972</v>
      </c>
      <c r="K251" s="32" t="s">
        <v>22</v>
      </c>
      <c r="L251" s="72">
        <v>738.32</v>
      </c>
      <c r="M251" s="72">
        <v>830</v>
      </c>
      <c r="N251" s="40"/>
      <c r="O251" s="71">
        <v>2</v>
      </c>
      <c r="P251" s="14">
        <f>Table2[[#This Row],[Sale Cost]]-Table2[[#This Row],[Fare Cost]]</f>
        <v>91.67999999999995</v>
      </c>
      <c r="Q251" s="162"/>
      <c r="R251" s="166" t="s">
        <v>426</v>
      </c>
      <c r="S251" s="162"/>
    </row>
    <row r="252" spans="2:19">
      <c r="B252" s="33" t="s">
        <v>553</v>
      </c>
      <c r="C252" s="34" t="s">
        <v>554</v>
      </c>
      <c r="D252" s="35" t="s">
        <v>63</v>
      </c>
      <c r="E252" s="36">
        <v>46008</v>
      </c>
      <c r="F252" s="37">
        <v>45671</v>
      </c>
      <c r="G252" s="38"/>
      <c r="H252" s="75"/>
      <c r="I252" s="9" t="s">
        <v>21</v>
      </c>
      <c r="J252" s="32">
        <v>45973</v>
      </c>
      <c r="K252" s="32" t="s">
        <v>22</v>
      </c>
      <c r="L252" s="72">
        <v>4873.4799999999996</v>
      </c>
      <c r="M252" s="72">
        <v>5400</v>
      </c>
      <c r="N252" s="40"/>
      <c r="O252" s="71">
        <v>4</v>
      </c>
      <c r="P252" s="14">
        <f>Table2[[#This Row],[Sale Cost]]-Table2[[#This Row],[Fare Cost]]</f>
        <v>526.52000000000044</v>
      </c>
      <c r="Q252" s="162"/>
      <c r="R252" s="166" t="s">
        <v>426</v>
      </c>
      <c r="S252" s="162"/>
    </row>
    <row r="253" spans="2:19">
      <c r="B253" s="33" t="s">
        <v>555</v>
      </c>
      <c r="C253" s="34" t="s">
        <v>556</v>
      </c>
      <c r="D253" s="35" t="s">
        <v>26</v>
      </c>
      <c r="E253" s="36">
        <v>45736</v>
      </c>
      <c r="F253" s="37">
        <v>45762</v>
      </c>
      <c r="G253" s="38"/>
      <c r="H253" s="75"/>
      <c r="I253" s="9" t="s">
        <v>21</v>
      </c>
      <c r="J253" s="32">
        <v>45974</v>
      </c>
      <c r="K253" s="32" t="s">
        <v>22</v>
      </c>
      <c r="L253" s="72">
        <v>2131.4699999999998</v>
      </c>
      <c r="M253" s="72">
        <v>2295</v>
      </c>
      <c r="N253" s="40"/>
      <c r="O253" s="71">
        <v>3</v>
      </c>
      <c r="P253" s="14">
        <f>Table2[[#This Row],[Sale Cost]]-Table2[[#This Row],[Fare Cost]]</f>
        <v>163.5300000000002</v>
      </c>
      <c r="Q253" s="162"/>
      <c r="R253" s="166" t="s">
        <v>420</v>
      </c>
      <c r="S253" s="162"/>
    </row>
    <row r="254" spans="2:19">
      <c r="B254" s="33" t="s">
        <v>412</v>
      </c>
      <c r="C254" s="34" t="s">
        <v>557</v>
      </c>
      <c r="D254" s="35" t="s">
        <v>30</v>
      </c>
      <c r="E254" s="36">
        <v>45996</v>
      </c>
      <c r="F254" s="37"/>
      <c r="G254" s="38"/>
      <c r="H254" s="75"/>
      <c r="I254" s="9" t="s">
        <v>21</v>
      </c>
      <c r="J254" s="32">
        <v>45974</v>
      </c>
      <c r="K254" s="123" t="s">
        <v>47</v>
      </c>
      <c r="L254" s="72">
        <v>160</v>
      </c>
      <c r="M254" s="72">
        <v>275</v>
      </c>
      <c r="N254" s="40"/>
      <c r="O254" s="71">
        <v>1</v>
      </c>
      <c r="P254" s="14">
        <f>Table2[[#This Row],[Sale Cost]]-Table2[[#This Row],[Fare Cost]]</f>
        <v>115</v>
      </c>
      <c r="Q254" s="162"/>
      <c r="R254" s="166" t="s">
        <v>420</v>
      </c>
      <c r="S254" s="162"/>
    </row>
    <row r="255" spans="2:19">
      <c r="B255" s="33" t="s">
        <v>558</v>
      </c>
      <c r="C255" s="34" t="s">
        <v>559</v>
      </c>
      <c r="D255" s="35" t="s">
        <v>63</v>
      </c>
      <c r="E255" s="36">
        <v>46008</v>
      </c>
      <c r="F255" s="37">
        <v>46021</v>
      </c>
      <c r="G255" s="38"/>
      <c r="H255" s="75"/>
      <c r="I255" s="9" t="s">
        <v>21</v>
      </c>
      <c r="J255" s="32">
        <v>45975</v>
      </c>
      <c r="K255" s="32" t="s">
        <v>22</v>
      </c>
      <c r="L255" s="72">
        <v>1289.78</v>
      </c>
      <c r="M255" s="72">
        <v>1650</v>
      </c>
      <c r="N255" s="40"/>
      <c r="O255" s="71">
        <v>1</v>
      </c>
      <c r="P255" s="14">
        <f>Table2[[#This Row],[Sale Cost]]-Table2[[#This Row],[Fare Cost]]</f>
        <v>360.22</v>
      </c>
      <c r="Q255" s="162"/>
      <c r="R255" s="166" t="s">
        <v>426</v>
      </c>
      <c r="S255" s="162"/>
    </row>
    <row r="256" spans="2:19">
      <c r="B256" s="33" t="s">
        <v>560</v>
      </c>
      <c r="C256" s="34" t="s">
        <v>561</v>
      </c>
      <c r="D256" s="35" t="s">
        <v>33</v>
      </c>
      <c r="E256" s="36">
        <v>45844</v>
      </c>
      <c r="F256" s="37">
        <v>45888</v>
      </c>
      <c r="G256" s="38"/>
      <c r="H256" s="75"/>
      <c r="I256" s="9" t="s">
        <v>21</v>
      </c>
      <c r="J256" s="32">
        <v>45976</v>
      </c>
      <c r="K256" s="32" t="s">
        <v>22</v>
      </c>
      <c r="L256" s="72">
        <v>1497.17</v>
      </c>
      <c r="M256" s="72">
        <v>1785</v>
      </c>
      <c r="N256" s="40"/>
      <c r="O256" s="71">
        <v>3</v>
      </c>
      <c r="P256" s="14">
        <f>Table2[[#This Row],[Sale Cost]]-Table2[[#This Row],[Fare Cost]]</f>
        <v>287.82999999999993</v>
      </c>
      <c r="Q256" s="162"/>
      <c r="R256" s="166" t="s">
        <v>420</v>
      </c>
      <c r="S256" s="162"/>
    </row>
    <row r="257" spans="2:19">
      <c r="B257" s="33" t="s">
        <v>562</v>
      </c>
      <c r="C257" s="34" t="s">
        <v>563</v>
      </c>
      <c r="D257" s="35" t="s">
        <v>33</v>
      </c>
      <c r="E257" s="36"/>
      <c r="F257" s="37">
        <v>45888</v>
      </c>
      <c r="G257" s="38"/>
      <c r="H257" s="75"/>
      <c r="I257" s="9" t="s">
        <v>21</v>
      </c>
      <c r="J257" s="32">
        <v>45976</v>
      </c>
      <c r="K257" s="32" t="s">
        <v>22</v>
      </c>
      <c r="L257" s="72">
        <v>389</v>
      </c>
      <c r="M257" s="72">
        <v>445</v>
      </c>
      <c r="N257" s="40"/>
      <c r="O257" s="71">
        <v>1</v>
      </c>
      <c r="P257" s="14">
        <f>Table2[[#This Row],[Sale Cost]]-Table2[[#This Row],[Fare Cost]]</f>
        <v>56</v>
      </c>
      <c r="Q257" s="162"/>
      <c r="R257" s="166" t="s">
        <v>420</v>
      </c>
      <c r="S257" s="162"/>
    </row>
    <row r="258" spans="2:19">
      <c r="B258" s="33" t="s">
        <v>564</v>
      </c>
      <c r="C258" s="34" t="s">
        <v>565</v>
      </c>
      <c r="D258" s="35" t="s">
        <v>233</v>
      </c>
      <c r="E258" s="36">
        <v>46016</v>
      </c>
      <c r="F258" s="37"/>
      <c r="G258" s="38"/>
      <c r="H258" s="75"/>
      <c r="I258" s="9" t="s">
        <v>21</v>
      </c>
      <c r="J258" s="32">
        <v>45976</v>
      </c>
      <c r="K258" s="32" t="s">
        <v>22</v>
      </c>
      <c r="L258" s="72">
        <v>1347.96</v>
      </c>
      <c r="N258" s="40"/>
      <c r="O258" s="71">
        <v>0</v>
      </c>
      <c r="P258" s="14">
        <f>Table2[[#This Row],[Sale Cost]]-Table2[[#This Row],[Fare Cost]]</f>
        <v>-1347.96</v>
      </c>
      <c r="Q258" s="162"/>
      <c r="R258" s="166" t="s">
        <v>426</v>
      </c>
      <c r="S258" s="162"/>
    </row>
    <row r="259" spans="2:19">
      <c r="B259" s="33" t="s">
        <v>566</v>
      </c>
      <c r="C259" s="34" t="s">
        <v>567</v>
      </c>
      <c r="D259" s="35" t="s">
        <v>33</v>
      </c>
      <c r="E259" s="36">
        <v>45673</v>
      </c>
      <c r="F259" s="37">
        <v>45711</v>
      </c>
      <c r="G259" s="38"/>
      <c r="H259" s="75"/>
      <c r="I259" s="9" t="s">
        <v>21</v>
      </c>
      <c r="J259" s="32">
        <v>45978</v>
      </c>
      <c r="K259" s="32" t="s">
        <v>22</v>
      </c>
      <c r="L259" s="72">
        <v>2239.0700000000002</v>
      </c>
      <c r="M259" s="72">
        <v>2395</v>
      </c>
      <c r="N259" s="40"/>
      <c r="O259" s="71">
        <v>5</v>
      </c>
      <c r="P259" s="14">
        <f>Table2[[#This Row],[Sale Cost]]-Table2[[#This Row],[Fare Cost]]</f>
        <v>155.92999999999984</v>
      </c>
      <c r="Q259" s="162"/>
      <c r="R259" s="166" t="s">
        <v>426</v>
      </c>
      <c r="S259" s="162"/>
    </row>
    <row r="260" spans="2:19">
      <c r="B260" s="33" t="s">
        <v>568</v>
      </c>
      <c r="C260" s="34" t="s">
        <v>569</v>
      </c>
      <c r="D260" s="35" t="s">
        <v>20</v>
      </c>
      <c r="E260" s="36">
        <v>45663</v>
      </c>
      <c r="F260" s="37">
        <v>45747</v>
      </c>
      <c r="G260" s="38"/>
      <c r="H260" s="75"/>
      <c r="I260" s="9" t="s">
        <v>21</v>
      </c>
      <c r="J260" s="32">
        <v>45978</v>
      </c>
      <c r="K260" s="32" t="s">
        <v>22</v>
      </c>
      <c r="L260" s="72">
        <v>828.18</v>
      </c>
      <c r="M260" s="72">
        <v>895</v>
      </c>
      <c r="N260" s="40"/>
      <c r="O260" s="71">
        <v>1</v>
      </c>
      <c r="P260" s="14">
        <f>Table2[[#This Row],[Sale Cost]]-Table2[[#This Row],[Fare Cost]]</f>
        <v>66.82000000000005</v>
      </c>
      <c r="Q260" s="162"/>
      <c r="R260" s="166" t="s">
        <v>426</v>
      </c>
      <c r="S260" s="162"/>
    </row>
    <row r="261" spans="2:19">
      <c r="B261" s="33" t="s">
        <v>87</v>
      </c>
      <c r="C261" s="34" t="s">
        <v>570</v>
      </c>
      <c r="D261" s="35" t="s">
        <v>30</v>
      </c>
      <c r="E261" s="36">
        <v>45984</v>
      </c>
      <c r="F261" s="37">
        <v>45996</v>
      </c>
      <c r="G261" s="38"/>
      <c r="H261" s="75"/>
      <c r="I261" s="9" t="s">
        <v>21</v>
      </c>
      <c r="J261" s="32">
        <v>45980</v>
      </c>
      <c r="K261" s="32" t="s">
        <v>22</v>
      </c>
      <c r="L261" s="72">
        <v>3359.6</v>
      </c>
      <c r="M261" s="72">
        <v>3455</v>
      </c>
      <c r="N261" s="40"/>
      <c r="O261" s="71">
        <v>5</v>
      </c>
      <c r="P261" s="14">
        <f>Table2[[#This Row],[Sale Cost]]-Table2[[#This Row],[Fare Cost]]</f>
        <v>95.400000000000091</v>
      </c>
      <c r="Q261" s="162"/>
      <c r="R261" s="166" t="s">
        <v>426</v>
      </c>
      <c r="S261" s="162"/>
    </row>
    <row r="262" spans="2:19">
      <c r="B262" s="33" t="s">
        <v>132</v>
      </c>
      <c r="C262" s="34" t="s">
        <v>571</v>
      </c>
      <c r="D262" s="35" t="s">
        <v>26</v>
      </c>
      <c r="E262" s="36">
        <v>45688</v>
      </c>
      <c r="F262" s="37">
        <v>45702</v>
      </c>
      <c r="G262" s="38"/>
      <c r="H262" s="75"/>
      <c r="I262" s="9" t="s">
        <v>21</v>
      </c>
      <c r="J262" s="32">
        <v>45982</v>
      </c>
      <c r="K262" s="32" t="s">
        <v>22</v>
      </c>
      <c r="L262" s="72">
        <v>695.59</v>
      </c>
      <c r="M262" s="72">
        <v>755</v>
      </c>
      <c r="N262" s="40"/>
      <c r="O262" s="71">
        <v>1</v>
      </c>
      <c r="P262" s="14">
        <f>Table2[[#This Row],[Sale Cost]]-Table2[[#This Row],[Fare Cost]]</f>
        <v>59.409999999999968</v>
      </c>
      <c r="Q262" s="162"/>
      <c r="R262" s="166" t="s">
        <v>420</v>
      </c>
      <c r="S262" s="162"/>
    </row>
    <row r="263" spans="2:19">
      <c r="B263" s="33" t="s">
        <v>129</v>
      </c>
      <c r="C263" s="34" t="s">
        <v>572</v>
      </c>
      <c r="D263" s="35" t="s">
        <v>26</v>
      </c>
      <c r="E263" s="36">
        <v>45688</v>
      </c>
      <c r="F263" s="37">
        <v>45702</v>
      </c>
      <c r="G263" s="38"/>
      <c r="H263" s="75"/>
      <c r="I263" s="9" t="s">
        <v>21</v>
      </c>
      <c r="J263" s="32">
        <v>45982</v>
      </c>
      <c r="K263" s="32" t="s">
        <v>22</v>
      </c>
      <c r="L263" s="72">
        <v>695.59</v>
      </c>
      <c r="M263" s="72">
        <v>770</v>
      </c>
      <c r="N263" s="40"/>
      <c r="O263" s="71">
        <v>1</v>
      </c>
      <c r="P263" s="14">
        <f>Table2[[#This Row],[Sale Cost]]-Table2[[#This Row],[Fare Cost]]</f>
        <v>74.409999999999968</v>
      </c>
      <c r="Q263" s="162"/>
      <c r="R263" s="166" t="s">
        <v>420</v>
      </c>
      <c r="S263" s="162"/>
    </row>
    <row r="264" spans="2:19">
      <c r="B264" s="33" t="s">
        <v>342</v>
      </c>
      <c r="C264" s="34" t="s">
        <v>343</v>
      </c>
      <c r="D264" s="35" t="s">
        <v>20</v>
      </c>
      <c r="E264" s="36">
        <v>45668</v>
      </c>
      <c r="F264" s="37"/>
      <c r="G264" s="38"/>
      <c r="H264" s="75"/>
      <c r="I264" s="9" t="s">
        <v>21</v>
      </c>
      <c r="J264" s="32">
        <v>45982</v>
      </c>
      <c r="K264" s="123" t="s">
        <v>47</v>
      </c>
      <c r="L264" s="72">
        <v>66</v>
      </c>
      <c r="M264" s="72">
        <v>195</v>
      </c>
      <c r="N264" s="40"/>
      <c r="O264" s="71">
        <v>1</v>
      </c>
      <c r="P264" s="14">
        <f>Table2[[#This Row],[Sale Cost]]-Table2[[#This Row],[Fare Cost]]</f>
        <v>129</v>
      </c>
      <c r="Q264" s="162"/>
      <c r="R264" s="166" t="s">
        <v>420</v>
      </c>
      <c r="S264" s="162"/>
    </row>
    <row r="265" spans="2:19">
      <c r="B265" s="33" t="s">
        <v>573</v>
      </c>
      <c r="C265" s="34" t="s">
        <v>574</v>
      </c>
      <c r="D265" s="35" t="s">
        <v>30</v>
      </c>
      <c r="E265" s="36">
        <v>45818</v>
      </c>
      <c r="F265" s="37">
        <v>45858</v>
      </c>
      <c r="G265" s="38"/>
      <c r="H265" s="75"/>
      <c r="I265" s="9" t="s">
        <v>21</v>
      </c>
      <c r="J265" s="32">
        <v>45982</v>
      </c>
      <c r="K265" s="32" t="s">
        <v>22</v>
      </c>
      <c r="L265" s="72">
        <v>593.89</v>
      </c>
      <c r="M265" s="72">
        <v>630</v>
      </c>
      <c r="N265" s="40"/>
      <c r="O265" s="71">
        <v>1</v>
      </c>
      <c r="P265" s="14">
        <f>Table2[[#This Row],[Sale Cost]]-Table2[[#This Row],[Fare Cost]]</f>
        <v>36.110000000000014</v>
      </c>
      <c r="Q265" s="162"/>
      <c r="R265" s="166" t="s">
        <v>426</v>
      </c>
      <c r="S265" s="162"/>
    </row>
    <row r="266" spans="2:19">
      <c r="B266" s="33" t="s">
        <v>575</v>
      </c>
      <c r="C266" s="34" t="s">
        <v>576</v>
      </c>
      <c r="D266" s="35" t="s">
        <v>22</v>
      </c>
      <c r="E266" s="36">
        <v>45685</v>
      </c>
      <c r="F266" s="37">
        <v>45702</v>
      </c>
      <c r="G266" s="38"/>
      <c r="H266" s="75"/>
      <c r="I266" s="9" t="s">
        <v>21</v>
      </c>
      <c r="J266" s="32">
        <v>45983</v>
      </c>
      <c r="K266" s="32" t="s">
        <v>22</v>
      </c>
      <c r="L266" s="72">
        <v>570.88</v>
      </c>
      <c r="M266" s="72">
        <v>735</v>
      </c>
      <c r="N266" s="40"/>
      <c r="O266" s="71">
        <v>1</v>
      </c>
      <c r="P266" s="14">
        <f>Table2[[#This Row],[Sale Cost]]-Table2[[#This Row],[Fare Cost]]</f>
        <v>164.12</v>
      </c>
      <c r="Q266" s="162"/>
      <c r="R266" s="166" t="s">
        <v>426</v>
      </c>
      <c r="S266" s="162"/>
    </row>
    <row r="267" spans="2:19">
      <c r="B267" s="33" t="s">
        <v>575</v>
      </c>
      <c r="C267" s="34" t="s">
        <v>577</v>
      </c>
      <c r="D267" s="35" t="s">
        <v>233</v>
      </c>
      <c r="E267" s="36">
        <v>45698</v>
      </c>
      <c r="F267" s="37"/>
      <c r="G267" s="38"/>
      <c r="H267" s="75"/>
      <c r="I267" s="9" t="s">
        <v>21</v>
      </c>
      <c r="J267" s="32">
        <v>45983</v>
      </c>
      <c r="K267" s="32" t="s">
        <v>22</v>
      </c>
      <c r="L267" s="72">
        <v>98.9</v>
      </c>
      <c r="N267" s="40"/>
      <c r="O267" s="71">
        <v>0</v>
      </c>
      <c r="P267" s="14">
        <f>Table2[[#This Row],[Sale Cost]]-Table2[[#This Row],[Fare Cost]]</f>
        <v>-98.9</v>
      </c>
      <c r="Q267" s="162"/>
      <c r="R267" s="166" t="s">
        <v>426</v>
      </c>
      <c r="S267" s="162"/>
    </row>
    <row r="268" spans="2:19">
      <c r="B268" s="33" t="s">
        <v>578</v>
      </c>
      <c r="C268" s="34" t="s">
        <v>579</v>
      </c>
      <c r="D268" s="35" t="s">
        <v>63</v>
      </c>
      <c r="E268" s="36">
        <v>45660</v>
      </c>
      <c r="F268" s="37"/>
      <c r="G268" s="38"/>
      <c r="H268" s="75"/>
      <c r="I268" s="9" t="s">
        <v>21</v>
      </c>
      <c r="J268" s="32">
        <v>45985</v>
      </c>
      <c r="K268" s="32" t="s">
        <v>22</v>
      </c>
      <c r="L268" s="72">
        <v>2905.2</v>
      </c>
      <c r="N268" s="40"/>
      <c r="O268" s="71">
        <v>0</v>
      </c>
      <c r="P268" s="14">
        <f>Table2[[#This Row],[Sale Cost]]-Table2[[#This Row],[Fare Cost]]</f>
        <v>-2905.2</v>
      </c>
      <c r="Q268" s="162"/>
      <c r="R268" s="166" t="s">
        <v>426</v>
      </c>
      <c r="S268" s="162"/>
    </row>
    <row r="269" spans="2:19">
      <c r="B269" s="33" t="s">
        <v>580</v>
      </c>
      <c r="C269" s="34" t="s">
        <v>581</v>
      </c>
      <c r="D269" s="35" t="s">
        <v>37</v>
      </c>
      <c r="E269" s="36">
        <v>45699</v>
      </c>
      <c r="F269" s="37">
        <v>45710</v>
      </c>
      <c r="G269" s="38"/>
      <c r="H269" s="75"/>
      <c r="I269" s="9" t="s">
        <v>21</v>
      </c>
      <c r="J269" s="32">
        <v>45986</v>
      </c>
      <c r="K269" s="32" t="s">
        <v>22</v>
      </c>
      <c r="L269" s="72">
        <v>4173.42</v>
      </c>
      <c r="N269" s="40"/>
      <c r="O269" s="71">
        <v>0</v>
      </c>
      <c r="P269" s="14">
        <f>Table2[[#This Row],[Sale Cost]]-Table2[[#This Row],[Fare Cost]]</f>
        <v>-4173.42</v>
      </c>
      <c r="Q269" s="162"/>
      <c r="R269" s="166" t="s">
        <v>426</v>
      </c>
      <c r="S269" s="162"/>
    </row>
    <row r="270" spans="2:19">
      <c r="B270" s="33" t="s">
        <v>251</v>
      </c>
      <c r="C270" s="34" t="s">
        <v>582</v>
      </c>
      <c r="D270" s="35" t="s">
        <v>63</v>
      </c>
      <c r="E270" s="36">
        <v>45994</v>
      </c>
      <c r="F270" s="37"/>
      <c r="G270" s="38"/>
      <c r="H270" s="75"/>
      <c r="I270" s="9" t="s">
        <v>21</v>
      </c>
      <c r="J270" s="32">
        <v>45991</v>
      </c>
      <c r="K270" s="32" t="s">
        <v>22</v>
      </c>
      <c r="L270" s="72">
        <v>511.37</v>
      </c>
      <c r="M270" s="72">
        <v>560.44000000000005</v>
      </c>
      <c r="N270" s="40"/>
      <c r="O270" s="71">
        <v>2</v>
      </c>
      <c r="P270" s="14">
        <f>Table2[[#This Row],[Sale Cost]]-Table2[[#This Row],[Fare Cost]]</f>
        <v>49.07000000000005</v>
      </c>
      <c r="Q270" s="162"/>
      <c r="R270" s="166" t="s">
        <v>426</v>
      </c>
      <c r="S270" s="162"/>
    </row>
    <row r="271" spans="2:19" s="176" customFormat="1">
      <c r="B271" s="189" t="s">
        <v>583</v>
      </c>
      <c r="C271" s="190" t="s">
        <v>584</v>
      </c>
      <c r="D271" s="191" t="s">
        <v>89</v>
      </c>
      <c r="E271" s="192">
        <v>45658</v>
      </c>
      <c r="F271" s="193"/>
      <c r="G271" s="194"/>
      <c r="H271" s="195"/>
      <c r="I271" s="183" t="s">
        <v>21</v>
      </c>
      <c r="J271" s="196">
        <v>45992</v>
      </c>
      <c r="K271" s="196" t="s">
        <v>22</v>
      </c>
      <c r="L271" s="197">
        <v>2640</v>
      </c>
      <c r="M271" s="197">
        <v>2940</v>
      </c>
      <c r="N271" s="198"/>
      <c r="O271" s="199">
        <v>3</v>
      </c>
      <c r="P271" s="200">
        <f>Table2[[#This Row],[Sale Cost]]-Table2[[#This Row],[Fare Cost]]</f>
        <v>300</v>
      </c>
      <c r="Q271" s="201"/>
      <c r="R271" s="202" t="s">
        <v>585</v>
      </c>
      <c r="S271" s="201"/>
    </row>
    <row r="272" spans="2:19">
      <c r="B272" s="33" t="s">
        <v>479</v>
      </c>
      <c r="C272" s="34" t="s">
        <v>480</v>
      </c>
      <c r="D272" s="35" t="s">
        <v>20</v>
      </c>
      <c r="E272" s="36">
        <v>45943</v>
      </c>
      <c r="F272" s="37">
        <v>45973</v>
      </c>
      <c r="G272" s="38"/>
      <c r="H272" s="75"/>
      <c r="I272" s="9" t="s">
        <v>21</v>
      </c>
      <c r="J272" s="32">
        <v>45995</v>
      </c>
      <c r="K272" s="123" t="s">
        <v>47</v>
      </c>
      <c r="L272" s="72">
        <v>155</v>
      </c>
      <c r="M272" s="72">
        <v>275</v>
      </c>
      <c r="N272" s="40"/>
      <c r="O272" s="71">
        <v>1</v>
      </c>
      <c r="P272" s="14">
        <f>Table2[[#This Row],[Sale Cost]]-Table2[[#This Row],[Fare Cost]]</f>
        <v>120</v>
      </c>
      <c r="Q272" s="162"/>
      <c r="R272" s="166" t="s">
        <v>420</v>
      </c>
      <c r="S272" s="162"/>
    </row>
    <row r="273" spans="2:19">
      <c r="B273" s="33" t="s">
        <v>586</v>
      </c>
      <c r="C273" s="34" t="s">
        <v>587</v>
      </c>
      <c r="D273" s="35" t="s">
        <v>476</v>
      </c>
      <c r="E273" s="36">
        <v>45702</v>
      </c>
      <c r="F273" s="37">
        <v>45711</v>
      </c>
      <c r="G273" s="38"/>
      <c r="H273" s="75"/>
      <c r="I273" s="9" t="s">
        <v>21</v>
      </c>
      <c r="J273" s="32">
        <v>45995</v>
      </c>
      <c r="K273" s="32" t="s">
        <v>22</v>
      </c>
      <c r="L273" s="72">
        <v>1753.17</v>
      </c>
      <c r="M273" s="72">
        <v>1925</v>
      </c>
      <c r="N273" s="40"/>
      <c r="O273" s="71">
        <v>3</v>
      </c>
      <c r="P273" s="14">
        <f>Table2[[#This Row],[Sale Cost]]-Table2[[#This Row],[Fare Cost]]</f>
        <v>171.82999999999993</v>
      </c>
      <c r="Q273" s="162"/>
      <c r="R273" s="166" t="s">
        <v>426</v>
      </c>
      <c r="S273" s="162"/>
    </row>
    <row r="274" spans="2:19">
      <c r="B274" s="33" t="s">
        <v>588</v>
      </c>
      <c r="C274" s="34" t="s">
        <v>589</v>
      </c>
      <c r="D274" s="35" t="s">
        <v>359</v>
      </c>
      <c r="E274" s="36">
        <v>45659</v>
      </c>
      <c r="F274" s="37"/>
      <c r="G274" s="38"/>
      <c r="H274" s="75"/>
      <c r="I274" s="9" t="s">
        <v>21</v>
      </c>
      <c r="J274" s="32">
        <v>45995</v>
      </c>
      <c r="K274" s="32" t="s">
        <v>22</v>
      </c>
      <c r="L274" s="72">
        <v>1389</v>
      </c>
      <c r="M274" s="72">
        <v>1495</v>
      </c>
      <c r="N274" s="40"/>
      <c r="O274" s="71">
        <v>2</v>
      </c>
      <c r="P274" s="14">
        <f>Table2[[#This Row],[Sale Cost]]-Table2[[#This Row],[Fare Cost]]</f>
        <v>106</v>
      </c>
      <c r="Q274" s="162"/>
      <c r="R274" s="166" t="s">
        <v>426</v>
      </c>
      <c r="S274" s="162"/>
    </row>
    <row r="275" spans="2:19">
      <c r="B275" s="33" t="s">
        <v>588</v>
      </c>
      <c r="C275" s="34" t="s">
        <v>590</v>
      </c>
      <c r="D275" s="35" t="s">
        <v>26</v>
      </c>
      <c r="E275" s="36">
        <v>46009</v>
      </c>
      <c r="F275" s="37"/>
      <c r="G275" s="38"/>
      <c r="H275" s="75"/>
      <c r="I275" s="9" t="s">
        <v>21</v>
      </c>
      <c r="J275" s="32">
        <v>45996</v>
      </c>
      <c r="K275" s="32" t="s">
        <v>591</v>
      </c>
      <c r="L275" s="72">
        <v>1259.74</v>
      </c>
      <c r="M275" s="72">
        <v>1345</v>
      </c>
      <c r="N275" s="40"/>
      <c r="O275" s="71">
        <v>2</v>
      </c>
      <c r="P275" s="14">
        <f>Table2[[#This Row],[Sale Cost]]-Table2[[#This Row],[Fare Cost]]</f>
        <v>85.259999999999991</v>
      </c>
      <c r="Q275" s="162"/>
      <c r="R275" s="166" t="s">
        <v>426</v>
      </c>
      <c r="S275" s="162"/>
    </row>
    <row r="276" spans="2:19">
      <c r="B276" s="33" t="s">
        <v>296</v>
      </c>
      <c r="C276" s="34" t="s">
        <v>592</v>
      </c>
      <c r="D276" s="35" t="s">
        <v>63</v>
      </c>
      <c r="E276" s="36">
        <v>46014</v>
      </c>
      <c r="F276" s="37"/>
      <c r="G276" s="38"/>
      <c r="H276" s="75"/>
      <c r="I276" s="9" t="s">
        <v>21</v>
      </c>
      <c r="J276" s="32">
        <v>46007</v>
      </c>
      <c r="K276" s="32" t="s">
        <v>22</v>
      </c>
      <c r="L276" s="72">
        <v>2556.8000000000002</v>
      </c>
      <c r="M276" s="72">
        <v>2695</v>
      </c>
      <c r="N276" s="40"/>
      <c r="O276" s="71">
        <v>8</v>
      </c>
      <c r="P276" s="14">
        <f>Table2[[#This Row],[Sale Cost]]-Table2[[#This Row],[Fare Cost]]</f>
        <v>138.19999999999982</v>
      </c>
      <c r="Q276" s="162"/>
      <c r="R276" s="166" t="s">
        <v>426</v>
      </c>
      <c r="S276" s="162"/>
    </row>
    <row r="277" spans="2:19">
      <c r="B277" s="33" t="s">
        <v>296</v>
      </c>
      <c r="C277" s="34" t="s">
        <v>593</v>
      </c>
      <c r="D277" s="35" t="s">
        <v>26</v>
      </c>
      <c r="E277" s="36">
        <v>46004</v>
      </c>
      <c r="F277" s="37"/>
      <c r="G277" s="38"/>
      <c r="H277" s="75"/>
      <c r="I277" s="9" t="s">
        <v>21</v>
      </c>
      <c r="J277" s="32">
        <v>45998</v>
      </c>
      <c r="K277" s="32" t="s">
        <v>22</v>
      </c>
      <c r="L277" s="72">
        <v>573.52</v>
      </c>
      <c r="M277" s="72">
        <v>645</v>
      </c>
      <c r="N277" s="40"/>
      <c r="O277" s="71">
        <v>1</v>
      </c>
      <c r="P277" s="14">
        <f>Table2[[#This Row],[Sale Cost]]-Table2[[#This Row],[Fare Cost]]</f>
        <v>71.480000000000018</v>
      </c>
      <c r="Q277" s="162"/>
      <c r="R277" s="166" t="s">
        <v>426</v>
      </c>
      <c r="S277" s="162"/>
    </row>
    <row r="278" spans="2:19">
      <c r="B278" s="33" t="s">
        <v>594</v>
      </c>
      <c r="C278" s="34" t="s">
        <v>595</v>
      </c>
      <c r="D278" s="35" t="s">
        <v>20</v>
      </c>
      <c r="E278" s="36">
        <v>46008</v>
      </c>
      <c r="F278" s="37"/>
      <c r="G278" s="38"/>
      <c r="H278" s="75"/>
      <c r="I278" s="9" t="s">
        <v>21</v>
      </c>
      <c r="J278" s="32">
        <v>45998</v>
      </c>
      <c r="K278" s="32" t="s">
        <v>22</v>
      </c>
      <c r="L278" s="72">
        <v>563.79999999999995</v>
      </c>
      <c r="M278" s="72">
        <v>640</v>
      </c>
      <c r="N278" s="40"/>
      <c r="O278" s="71">
        <v>1</v>
      </c>
      <c r="P278" s="14">
        <f>Table2[[#This Row],[Sale Cost]]-Table2[[#This Row],[Fare Cost]]</f>
        <v>76.200000000000045</v>
      </c>
      <c r="Q278" s="162"/>
      <c r="R278" s="166" t="s">
        <v>420</v>
      </c>
      <c r="S278" s="162"/>
    </row>
    <row r="279" spans="2:19">
      <c r="B279" s="33" t="s">
        <v>594</v>
      </c>
      <c r="C279" s="34" t="s">
        <v>596</v>
      </c>
      <c r="D279" s="35" t="s">
        <v>33</v>
      </c>
      <c r="E279" s="36">
        <v>45740</v>
      </c>
      <c r="F279" s="37"/>
      <c r="G279" s="38"/>
      <c r="H279" s="75"/>
      <c r="I279" s="9" t="s">
        <v>21</v>
      </c>
      <c r="J279" s="32">
        <v>46003</v>
      </c>
      <c r="K279" s="32" t="s">
        <v>22</v>
      </c>
      <c r="L279" s="72">
        <v>444.99</v>
      </c>
      <c r="M279" s="72">
        <v>510</v>
      </c>
      <c r="N279" s="40"/>
      <c r="O279" s="71">
        <v>1</v>
      </c>
      <c r="P279" s="14">
        <f>Table2[[#This Row],[Sale Cost]]-Table2[[#This Row],[Fare Cost]]</f>
        <v>65.009999999999991</v>
      </c>
      <c r="Q279" s="162"/>
      <c r="R279" s="166" t="s">
        <v>420</v>
      </c>
      <c r="S279" s="162"/>
    </row>
    <row r="280" spans="2:19">
      <c r="B280" s="33" t="s">
        <v>597</v>
      </c>
      <c r="C280" s="34" t="s">
        <v>598</v>
      </c>
      <c r="D280" s="35" t="s">
        <v>46</v>
      </c>
      <c r="E280" s="36">
        <v>45766</v>
      </c>
      <c r="F280" s="37">
        <v>45807</v>
      </c>
      <c r="G280" s="38"/>
      <c r="H280" s="75"/>
      <c r="I280" s="9" t="s">
        <v>21</v>
      </c>
      <c r="J280" s="32">
        <v>46006</v>
      </c>
      <c r="K280" s="32" t="s">
        <v>22</v>
      </c>
      <c r="L280" s="72">
        <v>1905.87</v>
      </c>
      <c r="M280" s="72">
        <v>2085</v>
      </c>
      <c r="N280" s="40"/>
      <c r="O280" s="71">
        <v>3</v>
      </c>
      <c r="P280" s="14">
        <f>Table2[[#This Row],[Sale Cost]]-Table2[[#This Row],[Fare Cost]]</f>
        <v>179.13000000000011</v>
      </c>
      <c r="Q280" s="162"/>
      <c r="R280" s="166" t="s">
        <v>420</v>
      </c>
      <c r="S280" s="162"/>
    </row>
    <row r="281" spans="2:19">
      <c r="B281" s="33" t="s">
        <v>599</v>
      </c>
      <c r="C281" s="34" t="s">
        <v>600</v>
      </c>
      <c r="D281" s="35" t="s">
        <v>46</v>
      </c>
      <c r="E281" s="36">
        <v>45729</v>
      </c>
      <c r="F281" s="37">
        <v>45773</v>
      </c>
      <c r="G281" s="38"/>
      <c r="H281" s="75"/>
      <c r="I281" s="9" t="s">
        <v>21</v>
      </c>
      <c r="J281" s="32">
        <v>46007</v>
      </c>
      <c r="K281" s="32" t="s">
        <v>22</v>
      </c>
      <c r="L281" s="72">
        <v>2215.56</v>
      </c>
      <c r="M281" s="72">
        <v>2490</v>
      </c>
      <c r="N281" s="40"/>
      <c r="O281" s="71">
        <v>4</v>
      </c>
      <c r="P281" s="14">
        <f>Table2[[#This Row],[Sale Cost]]-Table2[[#This Row],[Fare Cost]]</f>
        <v>274.44000000000005</v>
      </c>
      <c r="Q281" s="162"/>
      <c r="R281" s="166" t="s">
        <v>420</v>
      </c>
      <c r="S281" s="162"/>
    </row>
    <row r="282" spans="2:19">
      <c r="B282" s="33" t="s">
        <v>601</v>
      </c>
      <c r="C282" s="34" t="s">
        <v>602</v>
      </c>
      <c r="D282" s="35" t="s">
        <v>26</v>
      </c>
      <c r="E282" s="36">
        <v>45681</v>
      </c>
      <c r="F282" s="37"/>
      <c r="G282" s="38"/>
      <c r="H282" s="75"/>
      <c r="I282" s="9" t="s">
        <v>21</v>
      </c>
      <c r="J282" s="32">
        <v>46008</v>
      </c>
      <c r="K282" s="32" t="s">
        <v>22</v>
      </c>
      <c r="L282" s="72">
        <v>599.6</v>
      </c>
      <c r="M282" s="72">
        <v>700</v>
      </c>
      <c r="N282" s="40"/>
      <c r="O282" s="71">
        <v>2</v>
      </c>
      <c r="P282" s="14">
        <f>Table2[[#This Row],[Sale Cost]]-Table2[[#This Row],[Fare Cost]]</f>
        <v>100.39999999999998</v>
      </c>
      <c r="Q282" s="162"/>
      <c r="R282" s="166" t="s">
        <v>426</v>
      </c>
      <c r="S282" s="162"/>
    </row>
    <row r="283" spans="2:19">
      <c r="B283" s="33" t="s">
        <v>603</v>
      </c>
      <c r="C283" s="34" t="s">
        <v>604</v>
      </c>
      <c r="D283" s="35" t="s">
        <v>20</v>
      </c>
      <c r="E283" s="36">
        <v>46021</v>
      </c>
      <c r="F283" s="37">
        <v>45744</v>
      </c>
      <c r="G283" s="38"/>
      <c r="H283" s="75"/>
      <c r="I283" s="9" t="s">
        <v>21</v>
      </c>
      <c r="J283" s="32">
        <v>46010</v>
      </c>
      <c r="K283" s="32" t="s">
        <v>22</v>
      </c>
      <c r="L283" s="72">
        <v>819.58</v>
      </c>
      <c r="M283" s="72">
        <v>895</v>
      </c>
      <c r="N283" s="40"/>
      <c r="O283" s="71">
        <v>1</v>
      </c>
      <c r="P283" s="14">
        <f>Table2[[#This Row],[Sale Cost]]-Table2[[#This Row],[Fare Cost]]</f>
        <v>75.419999999999959</v>
      </c>
      <c r="Q283" s="162"/>
      <c r="R283" s="166" t="s">
        <v>420</v>
      </c>
      <c r="S283" s="162"/>
    </row>
    <row r="284" spans="2:19">
      <c r="B284" s="33" t="s">
        <v>605</v>
      </c>
      <c r="C284" s="34" t="s">
        <v>606</v>
      </c>
      <c r="D284" s="35" t="s">
        <v>26</v>
      </c>
      <c r="E284" s="36">
        <v>45676</v>
      </c>
      <c r="F284" s="37"/>
      <c r="G284" s="38"/>
      <c r="H284" s="75"/>
      <c r="I284" s="9" t="s">
        <v>21</v>
      </c>
      <c r="J284" s="32">
        <v>46012</v>
      </c>
      <c r="K284" s="32" t="s">
        <v>22</v>
      </c>
      <c r="L284" s="72">
        <v>530.6</v>
      </c>
      <c r="M284" s="72">
        <v>645</v>
      </c>
      <c r="N284" s="40"/>
      <c r="O284" s="71">
        <v>2</v>
      </c>
      <c r="P284" s="14">
        <f>Table2[[#This Row],[Sale Cost]]-Table2[[#This Row],[Fare Cost]]</f>
        <v>114.39999999999998</v>
      </c>
      <c r="Q284" s="162"/>
      <c r="R284" s="166" t="s">
        <v>426</v>
      </c>
      <c r="S284" s="162"/>
    </row>
    <row r="285" spans="2:19">
      <c r="B285" s="33" t="s">
        <v>607</v>
      </c>
      <c r="C285" s="34" t="s">
        <v>608</v>
      </c>
      <c r="D285" s="35" t="s">
        <v>33</v>
      </c>
      <c r="E285" s="36">
        <v>46020</v>
      </c>
      <c r="F285" s="37">
        <v>45698</v>
      </c>
      <c r="G285" s="38"/>
      <c r="H285" s="75"/>
      <c r="I285" s="9" t="s">
        <v>21</v>
      </c>
      <c r="J285" s="32">
        <v>46012</v>
      </c>
      <c r="K285" s="32" t="s">
        <v>22</v>
      </c>
      <c r="L285" s="72">
        <v>694.32</v>
      </c>
      <c r="M285" s="72">
        <v>795</v>
      </c>
      <c r="N285" s="40"/>
      <c r="O285" s="71">
        <v>1</v>
      </c>
      <c r="P285" s="14">
        <f>Table2[[#This Row],[Sale Cost]]-Table2[[#This Row],[Fare Cost]]</f>
        <v>100.67999999999995</v>
      </c>
      <c r="Q285" s="162"/>
      <c r="R285" s="166" t="s">
        <v>420</v>
      </c>
      <c r="S285" s="162"/>
    </row>
    <row r="286" spans="2:19">
      <c r="B286" s="33" t="s">
        <v>311</v>
      </c>
      <c r="C286" s="34" t="s">
        <v>609</v>
      </c>
      <c r="D286" s="35" t="s">
        <v>30</v>
      </c>
      <c r="E286" s="36">
        <v>45660</v>
      </c>
      <c r="F286" s="37"/>
      <c r="G286" s="38"/>
      <c r="H286" s="75"/>
      <c r="I286" s="9" t="s">
        <v>21</v>
      </c>
      <c r="J286" s="32">
        <v>46013</v>
      </c>
      <c r="K286" s="32" t="s">
        <v>22</v>
      </c>
      <c r="L286" s="72">
        <v>397.19</v>
      </c>
      <c r="M286" s="72">
        <v>465</v>
      </c>
      <c r="N286" s="40"/>
      <c r="O286" s="71">
        <v>1</v>
      </c>
      <c r="P286" s="14">
        <f>Table2[[#This Row],[Sale Cost]]-Table2[[#This Row],[Fare Cost]]</f>
        <v>67.81</v>
      </c>
      <c r="Q286" s="162"/>
      <c r="R286" s="166" t="s">
        <v>420</v>
      </c>
      <c r="S286" s="162"/>
    </row>
    <row r="287" spans="2:19">
      <c r="B287" s="33" t="s">
        <v>610</v>
      </c>
      <c r="C287" s="34" t="s">
        <v>611</v>
      </c>
      <c r="D287" s="35" t="s">
        <v>22</v>
      </c>
      <c r="E287" s="36">
        <v>45755</v>
      </c>
      <c r="F287" s="37"/>
      <c r="G287" s="38"/>
      <c r="H287" s="75"/>
      <c r="I287" s="9" t="s">
        <v>21</v>
      </c>
      <c r="J287" s="32">
        <v>46013</v>
      </c>
      <c r="K287" s="32" t="s">
        <v>22</v>
      </c>
      <c r="L287" s="72">
        <v>1051</v>
      </c>
      <c r="M287" s="72">
        <v>1150</v>
      </c>
      <c r="N287" s="40"/>
      <c r="O287" s="71">
        <v>5</v>
      </c>
      <c r="P287" s="14">
        <f>Table2[[#This Row],[Sale Cost]]-Table2[[#This Row],[Fare Cost]]</f>
        <v>99</v>
      </c>
      <c r="Q287" s="162"/>
      <c r="R287" s="166" t="s">
        <v>426</v>
      </c>
      <c r="S287" s="162"/>
    </row>
    <row r="288" spans="2:19">
      <c r="B288" s="33" t="s">
        <v>612</v>
      </c>
      <c r="C288" s="34" t="s">
        <v>613</v>
      </c>
      <c r="D288" s="35" t="s">
        <v>89</v>
      </c>
      <c r="E288" s="36">
        <v>45727</v>
      </c>
      <c r="F288" s="37"/>
      <c r="G288" s="38"/>
      <c r="H288" s="75"/>
      <c r="I288" s="9" t="s">
        <v>21</v>
      </c>
      <c r="J288" s="32">
        <v>46015</v>
      </c>
      <c r="K288" s="32" t="s">
        <v>22</v>
      </c>
      <c r="L288" s="72">
        <v>1153.76</v>
      </c>
      <c r="M288" s="72">
        <v>1295</v>
      </c>
      <c r="N288" s="40"/>
      <c r="O288" s="71">
        <v>5</v>
      </c>
      <c r="P288" s="14">
        <f>Table2[[#This Row],[Sale Cost]]-Table2[[#This Row],[Fare Cost]]</f>
        <v>141.24</v>
      </c>
      <c r="Q288" s="162"/>
      <c r="R288" s="166" t="s">
        <v>426</v>
      </c>
      <c r="S288" s="162"/>
    </row>
    <row r="289" spans="2:19">
      <c r="B289" s="33" t="s">
        <v>614</v>
      </c>
      <c r="C289" s="34" t="s">
        <v>615</v>
      </c>
      <c r="D289" s="35" t="s">
        <v>89</v>
      </c>
      <c r="E289" s="36">
        <v>45727</v>
      </c>
      <c r="F289" s="37"/>
      <c r="G289" s="38"/>
      <c r="H289" s="75"/>
      <c r="I289" s="9" t="s">
        <v>21</v>
      </c>
      <c r="J289" s="32">
        <v>46015</v>
      </c>
      <c r="K289" s="32" t="s">
        <v>22</v>
      </c>
      <c r="L289" s="72">
        <v>745.38</v>
      </c>
      <c r="M289" s="72">
        <v>890</v>
      </c>
      <c r="N289" s="40"/>
      <c r="O289" s="71">
        <v>2</v>
      </c>
      <c r="P289" s="14">
        <f>Table2[[#This Row],[Sale Cost]]-Table2[[#This Row],[Fare Cost]]</f>
        <v>144.62</v>
      </c>
      <c r="Q289" s="162"/>
      <c r="R289" s="166" t="s">
        <v>426</v>
      </c>
      <c r="S289" s="162"/>
    </row>
    <row r="290" spans="2:19">
      <c r="B290" s="33" t="s">
        <v>616</v>
      </c>
      <c r="C290" s="34" t="s">
        <v>617</v>
      </c>
      <c r="D290" s="35" t="s">
        <v>26</v>
      </c>
      <c r="E290" s="36">
        <v>45752</v>
      </c>
      <c r="F290" s="37"/>
      <c r="G290" s="38"/>
      <c r="H290" s="75"/>
      <c r="I290" s="9" t="s">
        <v>21</v>
      </c>
      <c r="J290" s="32">
        <v>45994</v>
      </c>
      <c r="K290" s="32" t="s">
        <v>22</v>
      </c>
      <c r="L290" s="72">
        <v>389.09</v>
      </c>
      <c r="N290" s="40"/>
      <c r="O290" s="71">
        <v>0</v>
      </c>
      <c r="P290" s="14">
        <f>Table2[[#This Row],[Sale Cost]]-Table2[[#This Row],[Fare Cost]]</f>
        <v>-389.09</v>
      </c>
      <c r="Q290" s="162"/>
      <c r="R290" s="166" t="s">
        <v>420</v>
      </c>
      <c r="S290" s="162"/>
    </row>
    <row r="291" spans="2:19">
      <c r="B291" s="33" t="s">
        <v>618</v>
      </c>
      <c r="C291" s="34" t="s">
        <v>619</v>
      </c>
      <c r="D291" s="35" t="s">
        <v>22</v>
      </c>
      <c r="E291" s="36">
        <v>46020</v>
      </c>
      <c r="F291" s="37">
        <v>45676</v>
      </c>
      <c r="G291" s="38"/>
      <c r="H291" s="75"/>
      <c r="I291" s="9" t="s">
        <v>21</v>
      </c>
      <c r="J291" s="32">
        <v>46020</v>
      </c>
      <c r="K291" s="32" t="s">
        <v>22</v>
      </c>
      <c r="L291" s="72">
        <v>1236.52</v>
      </c>
      <c r="M291" s="72">
        <v>1395</v>
      </c>
      <c r="N291" s="40"/>
      <c r="O291" s="71">
        <v>1</v>
      </c>
      <c r="P291" s="14">
        <f>Table2[[#This Row],[Sale Cost]]-Table2[[#This Row],[Fare Cost]]</f>
        <v>158.48000000000002</v>
      </c>
      <c r="Q291" s="162"/>
      <c r="R291" s="166" t="s">
        <v>426</v>
      </c>
      <c r="S291" s="162"/>
    </row>
    <row r="292" spans="2:19">
      <c r="B292" s="33" t="s">
        <v>620</v>
      </c>
      <c r="C292" s="34" t="s">
        <v>621</v>
      </c>
      <c r="D292" s="35" t="s">
        <v>233</v>
      </c>
      <c r="E292" s="36">
        <v>45855</v>
      </c>
      <c r="F292" s="37">
        <v>45897</v>
      </c>
      <c r="G292" s="38"/>
      <c r="H292" s="75"/>
      <c r="I292" s="9" t="s">
        <v>21</v>
      </c>
      <c r="J292" s="32">
        <v>46020</v>
      </c>
      <c r="K292" s="32" t="s">
        <v>22</v>
      </c>
      <c r="L292" s="72">
        <v>3937.45</v>
      </c>
      <c r="M292" s="72">
        <v>4200</v>
      </c>
      <c r="N292" s="40"/>
      <c r="O292" s="71">
        <v>5</v>
      </c>
      <c r="P292" s="14">
        <f>Table2[[#This Row],[Sale Cost]]-Table2[[#This Row],[Fare Cost]]</f>
        <v>262.55000000000018</v>
      </c>
      <c r="Q292" s="162"/>
      <c r="R292" s="166" t="s">
        <v>426</v>
      </c>
      <c r="S292" s="162"/>
    </row>
    <row r="293" spans="2:19">
      <c r="B293" s="33" t="s">
        <v>622</v>
      </c>
      <c r="C293" s="34" t="s">
        <v>623</v>
      </c>
      <c r="D293" s="35" t="s">
        <v>233</v>
      </c>
      <c r="E293" s="36">
        <v>45774</v>
      </c>
      <c r="F293" s="37">
        <v>45797</v>
      </c>
      <c r="G293" s="38"/>
      <c r="H293" s="75"/>
      <c r="I293" s="9" t="s">
        <v>21</v>
      </c>
      <c r="J293" s="32">
        <v>46021</v>
      </c>
      <c r="K293" s="32" t="s">
        <v>22</v>
      </c>
      <c r="L293" s="72">
        <v>1997.67</v>
      </c>
      <c r="M293" s="72">
        <v>2295</v>
      </c>
      <c r="N293" s="40"/>
      <c r="O293" s="71">
        <v>3</v>
      </c>
      <c r="P293" s="14">
        <f>Table2[[#This Row],[Sale Cost]]-Table2[[#This Row],[Fare Cost]]</f>
        <v>297.32999999999993</v>
      </c>
      <c r="Q293" s="162"/>
      <c r="R293" s="166" t="s">
        <v>426</v>
      </c>
      <c r="S293" s="162"/>
    </row>
    <row r="294" spans="2:19">
      <c r="B294" s="33" t="s">
        <v>624</v>
      </c>
      <c r="C294" s="34" t="s">
        <v>625</v>
      </c>
      <c r="D294" s="35" t="s">
        <v>233</v>
      </c>
      <c r="E294" s="36">
        <v>45774</v>
      </c>
      <c r="F294" s="37"/>
      <c r="G294" s="38"/>
      <c r="H294" s="75"/>
      <c r="I294" s="9" t="s">
        <v>21</v>
      </c>
      <c r="J294" s="32">
        <v>46021</v>
      </c>
      <c r="K294" s="32" t="s">
        <v>22</v>
      </c>
      <c r="L294" s="72">
        <v>479.09</v>
      </c>
      <c r="M294" s="72">
        <v>525</v>
      </c>
      <c r="N294" s="40"/>
      <c r="O294" s="71">
        <v>1</v>
      </c>
      <c r="P294" s="14">
        <f>Table2[[#This Row],[Sale Cost]]-Table2[[#This Row],[Fare Cost]]</f>
        <v>45.910000000000025</v>
      </c>
      <c r="Q294" s="162"/>
      <c r="R294" s="166" t="s">
        <v>426</v>
      </c>
      <c r="S294" s="162"/>
    </row>
    <row r="295" spans="2:19">
      <c r="B295" s="33" t="s">
        <v>626</v>
      </c>
      <c r="C295" s="34" t="s">
        <v>627</v>
      </c>
      <c r="D295" s="35" t="s">
        <v>233</v>
      </c>
      <c r="E295" s="36">
        <v>46111</v>
      </c>
      <c r="F295" s="37">
        <v>46124</v>
      </c>
      <c r="G295" s="38"/>
      <c r="H295" s="75"/>
      <c r="I295" s="9" t="s">
        <v>21</v>
      </c>
      <c r="J295" s="32">
        <v>46387</v>
      </c>
      <c r="K295" s="32" t="s">
        <v>22</v>
      </c>
      <c r="L295" s="72">
        <v>1785.78</v>
      </c>
      <c r="M295" s="72">
        <v>1870</v>
      </c>
      <c r="N295" s="40"/>
      <c r="O295" s="71">
        <v>2</v>
      </c>
      <c r="P295" s="14">
        <f>Table2[[#This Row],[Sale Cost]]-Table2[[#This Row],[Fare Cost]]</f>
        <v>84.220000000000027</v>
      </c>
      <c r="Q295" s="162"/>
      <c r="R295" s="166" t="s">
        <v>426</v>
      </c>
      <c r="S295" s="162"/>
    </row>
    <row r="296" spans="2:19">
      <c r="B296" s="33" t="s">
        <v>492</v>
      </c>
      <c r="C296" s="34" t="s">
        <v>628</v>
      </c>
      <c r="D296" s="35" t="s">
        <v>233</v>
      </c>
      <c r="E296" s="36">
        <v>46113</v>
      </c>
      <c r="F296" s="37">
        <v>46125</v>
      </c>
      <c r="G296" s="38"/>
      <c r="H296" s="75"/>
      <c r="I296" s="9" t="s">
        <v>21</v>
      </c>
      <c r="J296" s="32">
        <v>46387</v>
      </c>
      <c r="K296" s="32" t="s">
        <v>22</v>
      </c>
      <c r="L296" s="72">
        <v>5647.12</v>
      </c>
      <c r="M296" s="72">
        <v>6832.78</v>
      </c>
      <c r="N296" s="40"/>
      <c r="O296" s="71">
        <v>9</v>
      </c>
      <c r="P296" s="14">
        <f>Table2[[#This Row],[Sale Cost]]-Table2[[#This Row],[Fare Cost]]</f>
        <v>1185.6599999999999</v>
      </c>
      <c r="Q296" s="162"/>
      <c r="R296" s="166" t="s">
        <v>426</v>
      </c>
      <c r="S296" s="162"/>
    </row>
    <row r="297" spans="2:19" s="176" customFormat="1">
      <c r="B297" s="189" t="s">
        <v>629</v>
      </c>
      <c r="C297" s="190" t="s">
        <v>630</v>
      </c>
      <c r="D297" s="191" t="s">
        <v>22</v>
      </c>
      <c r="E297" s="192">
        <v>46093</v>
      </c>
      <c r="F297" s="193"/>
      <c r="G297" s="194"/>
      <c r="H297" s="195"/>
      <c r="I297" s="183" t="s">
        <v>21</v>
      </c>
      <c r="J297" s="196">
        <v>46024</v>
      </c>
      <c r="K297" s="196" t="s">
        <v>22</v>
      </c>
      <c r="L297" s="197">
        <v>487.68</v>
      </c>
      <c r="M297" s="197">
        <v>525</v>
      </c>
      <c r="N297" s="198"/>
      <c r="O297" s="199">
        <v>1</v>
      </c>
      <c r="P297" s="200">
        <f>Table2[[#This Row],[Sale Cost]]-Table2[[#This Row],[Fare Cost]]</f>
        <v>37.319999999999993</v>
      </c>
      <c r="Q297" s="201"/>
      <c r="R297" s="202" t="s">
        <v>426</v>
      </c>
      <c r="S297" s="201"/>
    </row>
    <row r="298" spans="2:19">
      <c r="B298" s="33" t="s">
        <v>631</v>
      </c>
      <c r="C298" s="34" t="s">
        <v>632</v>
      </c>
      <c r="D298" s="35" t="s">
        <v>22</v>
      </c>
      <c r="E298" s="36">
        <v>46024</v>
      </c>
      <c r="F298" s="37">
        <v>46140</v>
      </c>
      <c r="G298" s="38"/>
      <c r="H298" s="75"/>
      <c r="I298" s="183" t="s">
        <v>21</v>
      </c>
      <c r="J298" s="32">
        <v>46024</v>
      </c>
      <c r="K298" s="32" t="s">
        <v>22</v>
      </c>
      <c r="L298" s="72">
        <v>1217.3599999999999</v>
      </c>
      <c r="M298" s="72">
        <v>1290</v>
      </c>
      <c r="N298" s="40"/>
      <c r="O298" s="71">
        <v>2</v>
      </c>
      <c r="P298" s="14">
        <f>Table2[[#This Row],[Sale Cost]]-Table2[[#This Row],[Fare Cost]]</f>
        <v>72.6400000000001</v>
      </c>
      <c r="Q298" s="162"/>
      <c r="R298" s="166" t="s">
        <v>426</v>
      </c>
      <c r="S298" s="162"/>
    </row>
    <row r="299" spans="2:19">
      <c r="B299" s="33" t="s">
        <v>633</v>
      </c>
      <c r="C299" s="34" t="s">
        <v>634</v>
      </c>
      <c r="D299" s="35" t="s">
        <v>26</v>
      </c>
      <c r="E299" s="36">
        <v>46043</v>
      </c>
      <c r="F299" s="37">
        <v>46139</v>
      </c>
      <c r="G299" s="38"/>
      <c r="H299" s="75"/>
      <c r="I299" s="183" t="s">
        <v>21</v>
      </c>
      <c r="J299" s="32">
        <v>46024</v>
      </c>
      <c r="K299" s="32" t="s">
        <v>22</v>
      </c>
      <c r="L299" s="72">
        <v>1199.78</v>
      </c>
      <c r="M299" s="72">
        <v>1350</v>
      </c>
      <c r="N299" s="40"/>
      <c r="O299" s="71">
        <v>2</v>
      </c>
      <c r="P299" s="14">
        <f>Table2[[#This Row],[Sale Cost]]-Table2[[#This Row],[Fare Cost]]</f>
        <v>150.22000000000003</v>
      </c>
      <c r="Q299" s="162"/>
      <c r="R299" s="166" t="s">
        <v>585</v>
      </c>
      <c r="S299" s="162"/>
    </row>
    <row r="300" spans="2:19">
      <c r="B300" s="33" t="s">
        <v>635</v>
      </c>
      <c r="C300" s="34" t="s">
        <v>636</v>
      </c>
      <c r="D300" s="35" t="s">
        <v>233</v>
      </c>
      <c r="E300" s="36">
        <v>46145</v>
      </c>
      <c r="F300" s="37">
        <v>46185</v>
      </c>
      <c r="G300" s="38"/>
      <c r="H300" s="75"/>
      <c r="I300" s="183" t="s">
        <v>21</v>
      </c>
      <c r="J300" s="32">
        <v>46024</v>
      </c>
      <c r="K300" s="32" t="s">
        <v>22</v>
      </c>
      <c r="L300" s="72">
        <v>1399.98</v>
      </c>
      <c r="N300" s="40"/>
      <c r="O300" s="71">
        <v>2</v>
      </c>
      <c r="P300" s="14">
        <f>Table2[[#This Row],[Sale Cost]]-Table2[[#This Row],[Fare Cost]]</f>
        <v>-1399.98</v>
      </c>
      <c r="Q300" s="162"/>
      <c r="R300" s="166" t="s">
        <v>426</v>
      </c>
      <c r="S300" s="162"/>
    </row>
    <row r="301" spans="2:19">
      <c r="B301" s="33" t="s">
        <v>637</v>
      </c>
      <c r="C301" s="34" t="s">
        <v>638</v>
      </c>
      <c r="D301" s="35" t="s">
        <v>26</v>
      </c>
      <c r="E301" s="36">
        <v>46101</v>
      </c>
      <c r="F301" s="37">
        <v>46127</v>
      </c>
      <c r="G301" s="38"/>
      <c r="H301" s="75"/>
      <c r="I301" s="183" t="s">
        <v>21</v>
      </c>
      <c r="J301" s="32">
        <v>46027</v>
      </c>
      <c r="K301" s="32" t="s">
        <v>22</v>
      </c>
      <c r="L301" s="72">
        <v>3410.35</v>
      </c>
      <c r="M301" s="72">
        <v>3655</v>
      </c>
      <c r="N301" s="40"/>
      <c r="O301" s="71">
        <v>5</v>
      </c>
      <c r="P301" s="14">
        <f>Table2[[#This Row],[Sale Cost]]-Table2[[#This Row],[Fare Cost]]</f>
        <v>244.65000000000009</v>
      </c>
      <c r="Q301" s="162"/>
      <c r="R301" s="166" t="s">
        <v>420</v>
      </c>
      <c r="S301" s="162"/>
    </row>
    <row r="302" spans="2:19">
      <c r="B302" s="33" t="s">
        <v>378</v>
      </c>
      <c r="C302" s="34" t="s">
        <v>639</v>
      </c>
      <c r="D302" s="35" t="s">
        <v>233</v>
      </c>
      <c r="E302" s="36">
        <v>46190</v>
      </c>
      <c r="F302" s="37"/>
      <c r="G302" s="38"/>
      <c r="H302" s="75"/>
      <c r="I302" s="183" t="s">
        <v>21</v>
      </c>
      <c r="J302" s="32">
        <v>46027</v>
      </c>
      <c r="K302" s="32" t="s">
        <v>22</v>
      </c>
      <c r="L302" s="72">
        <v>351.2</v>
      </c>
      <c r="M302" s="72">
        <v>395</v>
      </c>
      <c r="N302" s="40"/>
      <c r="O302" s="71">
        <v>1</v>
      </c>
      <c r="P302" s="14">
        <f>Table2[[#This Row],[Sale Cost]]-Table2[[#This Row],[Fare Cost]]</f>
        <v>43.800000000000011</v>
      </c>
      <c r="Q302" s="162"/>
      <c r="R302" s="166" t="s">
        <v>420</v>
      </c>
      <c r="S302" s="162"/>
    </row>
    <row r="303" spans="2:19">
      <c r="B303" s="33" t="s">
        <v>378</v>
      </c>
      <c r="C303" s="34" t="s">
        <v>640</v>
      </c>
      <c r="D303" s="35" t="s">
        <v>233</v>
      </c>
      <c r="E303" s="36">
        <v>46102</v>
      </c>
      <c r="F303" s="37"/>
      <c r="G303" s="38"/>
      <c r="H303" s="75"/>
      <c r="I303" s="183" t="s">
        <v>21</v>
      </c>
      <c r="J303" s="32">
        <v>46029</v>
      </c>
      <c r="K303" s="32" t="s">
        <v>22</v>
      </c>
      <c r="L303" s="72">
        <v>335.8</v>
      </c>
      <c r="M303" s="72">
        <v>375</v>
      </c>
      <c r="N303" s="40"/>
      <c r="O303" s="71">
        <v>0</v>
      </c>
      <c r="P303" s="14">
        <f>Table2[[#This Row],[Sale Cost]]-Table2[[#This Row],[Fare Cost]]</f>
        <v>39.199999999999989</v>
      </c>
      <c r="Q303" s="162"/>
      <c r="R303" s="166" t="s">
        <v>420</v>
      </c>
      <c r="S303" s="162"/>
    </row>
    <row r="304" spans="2:19">
      <c r="B304" s="33" t="s">
        <v>474</v>
      </c>
      <c r="C304" s="34" t="s">
        <v>641</v>
      </c>
      <c r="D304" s="35" t="s">
        <v>642</v>
      </c>
      <c r="E304" s="36">
        <v>46103</v>
      </c>
      <c r="F304" s="37">
        <v>46125</v>
      </c>
      <c r="G304" s="38"/>
      <c r="H304" s="75"/>
      <c r="I304" s="183" t="s">
        <v>21</v>
      </c>
      <c r="J304" s="32">
        <v>46031</v>
      </c>
      <c r="K304" s="32" t="s">
        <v>22</v>
      </c>
      <c r="L304" s="72">
        <v>931.27</v>
      </c>
      <c r="M304" s="72">
        <v>995</v>
      </c>
      <c r="N304" s="40"/>
      <c r="O304" s="71">
        <v>1</v>
      </c>
      <c r="P304" s="14">
        <f>Table2[[#This Row],[Sale Cost]]-Table2[[#This Row],[Fare Cost]]</f>
        <v>63.730000000000018</v>
      </c>
      <c r="Q304" s="162"/>
      <c r="R304" s="166" t="s">
        <v>420</v>
      </c>
      <c r="S304" s="162"/>
    </row>
    <row r="305" spans="2:19">
      <c r="B305" s="33" t="s">
        <v>643</v>
      </c>
      <c r="C305" s="34" t="s">
        <v>644</v>
      </c>
      <c r="D305" s="35" t="s">
        <v>645</v>
      </c>
      <c r="E305" s="36">
        <v>46085</v>
      </c>
      <c r="F305" s="37">
        <v>46101</v>
      </c>
      <c r="G305" s="38"/>
      <c r="H305" s="75"/>
      <c r="I305" s="183" t="s">
        <v>21</v>
      </c>
      <c r="J305" s="32">
        <v>46032</v>
      </c>
      <c r="K305" s="32" t="s">
        <v>22</v>
      </c>
      <c r="L305" s="72">
        <v>537.79</v>
      </c>
      <c r="M305" s="72">
        <v>795</v>
      </c>
      <c r="N305" s="40"/>
      <c r="O305" s="71">
        <v>1</v>
      </c>
      <c r="P305" s="14">
        <f>Table2[[#This Row],[Sale Cost]]-Table2[[#This Row],[Fare Cost]]</f>
        <v>257.21000000000004</v>
      </c>
      <c r="Q305" s="162"/>
      <c r="R305" s="166" t="s">
        <v>426</v>
      </c>
      <c r="S305" s="162"/>
    </row>
    <row r="306" spans="2:19">
      <c r="B306" s="33" t="s">
        <v>646</v>
      </c>
      <c r="C306" s="34" t="s">
        <v>647</v>
      </c>
      <c r="D306" s="35" t="s">
        <v>648</v>
      </c>
      <c r="E306" s="36">
        <v>46227</v>
      </c>
      <c r="F306" s="37">
        <v>46260</v>
      </c>
      <c r="G306" s="38"/>
      <c r="H306" s="75"/>
      <c r="I306" s="183" t="s">
        <v>21</v>
      </c>
      <c r="J306" s="32">
        <v>46035</v>
      </c>
      <c r="K306" s="32" t="s">
        <v>22</v>
      </c>
      <c r="L306" s="72">
        <v>3310.2</v>
      </c>
      <c r="M306" s="72">
        <v>3710</v>
      </c>
      <c r="N306" s="40"/>
      <c r="O306" s="71">
        <v>4</v>
      </c>
      <c r="P306" s="14">
        <f>Table2[[#This Row],[Sale Cost]]-Table2[[#This Row],[Fare Cost]]</f>
        <v>399.80000000000018</v>
      </c>
      <c r="Q306" s="162"/>
      <c r="R306" s="166" t="s">
        <v>426</v>
      </c>
      <c r="S306" s="162"/>
    </row>
    <row r="307" spans="2:19">
      <c r="B307" s="33" t="s">
        <v>649</v>
      </c>
      <c r="C307" s="34" t="s">
        <v>650</v>
      </c>
      <c r="D307" s="35" t="s">
        <v>33</v>
      </c>
      <c r="E307" s="36">
        <v>46088</v>
      </c>
      <c r="F307" s="37">
        <v>46109</v>
      </c>
      <c r="G307" s="38"/>
      <c r="H307" s="75"/>
      <c r="I307" s="183" t="s">
        <v>21</v>
      </c>
      <c r="J307" s="32">
        <v>46035</v>
      </c>
      <c r="K307" s="32" t="s">
        <v>22</v>
      </c>
      <c r="L307" s="72">
        <v>598.29</v>
      </c>
      <c r="M307" s="72">
        <v>675</v>
      </c>
      <c r="N307" s="40"/>
      <c r="O307" s="71">
        <v>1</v>
      </c>
      <c r="P307" s="14">
        <f>Table2[[#This Row],[Sale Cost]]-Table2[[#This Row],[Fare Cost]]</f>
        <v>76.710000000000036</v>
      </c>
      <c r="Q307" s="162"/>
      <c r="R307" s="166" t="s">
        <v>420</v>
      </c>
      <c r="S307" s="162"/>
    </row>
    <row r="308" spans="2:19">
      <c r="B308" s="33" t="s">
        <v>651</v>
      </c>
      <c r="C308" s="34" t="s">
        <v>652</v>
      </c>
      <c r="D308" s="35" t="s">
        <v>233</v>
      </c>
      <c r="E308" s="36">
        <v>46111</v>
      </c>
      <c r="F308" s="37">
        <v>46129</v>
      </c>
      <c r="G308" s="38"/>
      <c r="H308" s="75"/>
      <c r="I308" s="183" t="s">
        <v>21</v>
      </c>
      <c r="J308" s="32">
        <v>46037</v>
      </c>
      <c r="K308" s="32" t="s">
        <v>22</v>
      </c>
      <c r="L308" s="72">
        <v>667.99</v>
      </c>
      <c r="M308" s="72">
        <v>775</v>
      </c>
      <c r="N308" s="40"/>
      <c r="O308" s="71">
        <v>1</v>
      </c>
      <c r="P308" s="14">
        <f>Table2[[#This Row],[Sale Cost]]-Table2[[#This Row],[Fare Cost]]</f>
        <v>107.00999999999999</v>
      </c>
      <c r="Q308" s="162"/>
      <c r="R308" s="166" t="s">
        <v>420</v>
      </c>
      <c r="S308" s="162"/>
    </row>
    <row r="309" spans="2:19">
      <c r="B309" s="33" t="s">
        <v>515</v>
      </c>
      <c r="C309" s="34" t="s">
        <v>653</v>
      </c>
      <c r="D309" s="35" t="s">
        <v>233</v>
      </c>
      <c r="E309" s="36">
        <v>46111</v>
      </c>
      <c r="F309" s="37">
        <v>46129</v>
      </c>
      <c r="G309" s="38"/>
      <c r="H309" s="75"/>
      <c r="I309" s="183" t="s">
        <v>21</v>
      </c>
      <c r="J309" s="32">
        <v>46037</v>
      </c>
      <c r="K309" s="32" t="s">
        <v>22</v>
      </c>
      <c r="L309" s="72">
        <v>927.99</v>
      </c>
      <c r="M309" s="72">
        <v>1045</v>
      </c>
      <c r="N309" s="40"/>
      <c r="O309" s="71">
        <v>1</v>
      </c>
      <c r="P309" s="14">
        <f>Table2[[#This Row],[Sale Cost]]-Table2[[#This Row],[Fare Cost]]</f>
        <v>117.00999999999999</v>
      </c>
      <c r="Q309" s="162"/>
      <c r="R309" s="166" t="s">
        <v>420</v>
      </c>
      <c r="S309" s="162"/>
    </row>
    <row r="310" spans="2:19">
      <c r="B310" s="33" t="s">
        <v>654</v>
      </c>
      <c r="C310" s="34" t="s">
        <v>655</v>
      </c>
      <c r="D310" s="35" t="s">
        <v>33</v>
      </c>
      <c r="E310" s="36">
        <v>46065</v>
      </c>
      <c r="F310" s="37">
        <v>46079</v>
      </c>
      <c r="G310" s="38"/>
      <c r="H310" s="75"/>
      <c r="I310" s="183" t="s">
        <v>21</v>
      </c>
      <c r="J310" s="32">
        <v>46037</v>
      </c>
      <c r="K310" s="32" t="s">
        <v>22</v>
      </c>
      <c r="L310" s="72">
        <v>1090.78</v>
      </c>
      <c r="M310" s="72">
        <v>1220</v>
      </c>
      <c r="N310" s="40"/>
      <c r="O310" s="71">
        <v>2</v>
      </c>
      <c r="P310" s="14">
        <f>Table2[[#This Row],[Sale Cost]]-Table2[[#This Row],[Fare Cost]]</f>
        <v>129.22000000000003</v>
      </c>
      <c r="Q310" s="162"/>
      <c r="R310" s="166" t="s">
        <v>420</v>
      </c>
      <c r="S310" s="162"/>
    </row>
    <row r="311" spans="2:19">
      <c r="B311" s="33" t="s">
        <v>656</v>
      </c>
      <c r="C311" s="34" t="s">
        <v>657</v>
      </c>
      <c r="D311" s="35" t="s">
        <v>233</v>
      </c>
      <c r="E311" s="36">
        <v>46229</v>
      </c>
      <c r="F311" s="37">
        <v>46258</v>
      </c>
      <c r="G311" s="38"/>
      <c r="H311" s="75"/>
      <c r="I311" s="183" t="s">
        <v>21</v>
      </c>
      <c r="J311" s="32">
        <v>46036</v>
      </c>
      <c r="K311" s="32" t="s">
        <v>22</v>
      </c>
      <c r="L311" s="72">
        <v>2976.76</v>
      </c>
      <c r="M311" s="72">
        <v>3180</v>
      </c>
      <c r="N311" s="40"/>
      <c r="O311" s="71">
        <v>4</v>
      </c>
      <c r="P311" s="14">
        <f>Table2[[#This Row],[Sale Cost]]-Table2[[#This Row],[Fare Cost]]</f>
        <v>203.23999999999978</v>
      </c>
      <c r="Q311" s="162"/>
      <c r="R311" s="166" t="s">
        <v>420</v>
      </c>
      <c r="S311" s="162"/>
    </row>
    <row r="312" spans="2:19">
      <c r="B312" s="33" t="s">
        <v>658</v>
      </c>
      <c r="C312" s="34" t="s">
        <v>659</v>
      </c>
      <c r="D312" s="35" t="s">
        <v>233</v>
      </c>
      <c r="E312" s="36">
        <v>46115</v>
      </c>
      <c r="F312" s="37">
        <v>46136</v>
      </c>
      <c r="G312" s="38"/>
      <c r="H312" s="75"/>
      <c r="I312" s="183" t="s">
        <v>21</v>
      </c>
      <c r="J312" s="32">
        <v>46036</v>
      </c>
      <c r="K312" s="32" t="s">
        <v>22</v>
      </c>
      <c r="L312" s="72">
        <v>1550.38</v>
      </c>
      <c r="M312" s="72">
        <v>1690</v>
      </c>
      <c r="N312" s="40"/>
      <c r="O312" s="71">
        <v>2</v>
      </c>
      <c r="P312" s="14">
        <f>Table2[[#This Row],[Sale Cost]]-Table2[[#This Row],[Fare Cost]]</f>
        <v>139.61999999999989</v>
      </c>
      <c r="Q312" s="162"/>
      <c r="R312" s="166" t="s">
        <v>426</v>
      </c>
      <c r="S312" s="162"/>
    </row>
    <row r="313" spans="2:19">
      <c r="B313" s="33" t="s">
        <v>660</v>
      </c>
      <c r="C313" s="34" t="s">
        <v>661</v>
      </c>
      <c r="D313" s="35" t="s">
        <v>233</v>
      </c>
      <c r="E313" s="36">
        <v>46220</v>
      </c>
      <c r="F313" s="37">
        <v>46264</v>
      </c>
      <c r="G313" s="38"/>
      <c r="H313" s="75"/>
      <c r="I313" s="183" t="s">
        <v>21</v>
      </c>
      <c r="J313" s="32">
        <v>46041</v>
      </c>
      <c r="K313" s="32" t="s">
        <v>22</v>
      </c>
      <c r="L313" s="72">
        <v>4474.95</v>
      </c>
      <c r="M313" s="72">
        <v>4775</v>
      </c>
      <c r="N313" s="40"/>
      <c r="O313" s="71">
        <v>5</v>
      </c>
      <c r="P313" s="14">
        <f>Table2[[#This Row],[Sale Cost]]-Table2[[#This Row],[Fare Cost]]</f>
        <v>300.05000000000018</v>
      </c>
      <c r="Q313" s="162"/>
      <c r="R313" s="166" t="s">
        <v>420</v>
      </c>
      <c r="S313" s="162"/>
    </row>
    <row r="314" spans="2:19">
      <c r="B314" s="33" t="s">
        <v>662</v>
      </c>
      <c r="C314" s="34" t="s">
        <v>663</v>
      </c>
      <c r="D314" s="35" t="s">
        <v>20</v>
      </c>
      <c r="E314" s="36">
        <v>46220</v>
      </c>
      <c r="F314" s="37">
        <v>46270</v>
      </c>
      <c r="G314" s="38"/>
      <c r="H314" s="75"/>
      <c r="I314" s="183" t="s">
        <v>21</v>
      </c>
      <c r="J314" s="32">
        <v>46039</v>
      </c>
      <c r="K314" s="32" t="s">
        <v>22</v>
      </c>
      <c r="L314" s="72">
        <v>17710.28</v>
      </c>
      <c r="N314" s="40"/>
      <c r="O314" s="71">
        <v>6</v>
      </c>
      <c r="P314" s="14">
        <f>Table2[[#This Row],[Sale Cost]]-Table2[[#This Row],[Fare Cost]]</f>
        <v>-17710.28</v>
      </c>
      <c r="Q314" s="162"/>
      <c r="R314" s="166" t="s">
        <v>426</v>
      </c>
      <c r="S314" s="162"/>
    </row>
    <row r="315" spans="2:19">
      <c r="B315" s="33" t="s">
        <v>311</v>
      </c>
      <c r="C315" s="34" t="s">
        <v>664</v>
      </c>
      <c r="D315" s="35" t="s">
        <v>33</v>
      </c>
      <c r="E315" s="36"/>
      <c r="F315" s="37">
        <v>46113</v>
      </c>
      <c r="G315" s="38"/>
      <c r="H315" s="75"/>
      <c r="I315" s="183" t="s">
        <v>21</v>
      </c>
      <c r="J315" s="32">
        <v>46040</v>
      </c>
      <c r="K315" s="32" t="s">
        <v>22</v>
      </c>
      <c r="L315" s="72">
        <v>331</v>
      </c>
      <c r="M315" s="72">
        <v>385</v>
      </c>
      <c r="N315" s="40"/>
      <c r="O315" s="71">
        <v>1</v>
      </c>
      <c r="P315" s="14">
        <f>Table2[[#This Row],[Sale Cost]]-Table2[[#This Row],[Fare Cost]]</f>
        <v>54</v>
      </c>
      <c r="Q315" s="162"/>
      <c r="R315" s="166" t="s">
        <v>420</v>
      </c>
      <c r="S315" s="162"/>
    </row>
    <row r="316" spans="2:19">
      <c r="B316" s="33" t="s">
        <v>665</v>
      </c>
      <c r="C316" s="34" t="s">
        <v>666</v>
      </c>
      <c r="D316" s="35" t="s">
        <v>33</v>
      </c>
      <c r="E316" s="36">
        <v>46072</v>
      </c>
      <c r="F316" s="37">
        <v>46113</v>
      </c>
      <c r="G316" s="38"/>
      <c r="H316" s="75"/>
      <c r="I316" s="183" t="s">
        <v>21</v>
      </c>
      <c r="J316" s="32">
        <v>46044</v>
      </c>
      <c r="K316" s="32" t="s">
        <v>22</v>
      </c>
      <c r="L316" s="72">
        <v>600.19000000000005</v>
      </c>
      <c r="M316" s="72">
        <v>665</v>
      </c>
      <c r="N316" s="40"/>
      <c r="O316" s="71">
        <v>1</v>
      </c>
      <c r="P316" s="14">
        <f>Table2[[#This Row],[Sale Cost]]-Table2[[#This Row],[Fare Cost]]</f>
        <v>64.809999999999945</v>
      </c>
      <c r="Q316" s="162"/>
      <c r="R316" s="166" t="s">
        <v>420</v>
      </c>
      <c r="S316" s="162"/>
    </row>
    <row r="317" spans="2:19">
      <c r="B317" s="33" t="s">
        <v>667</v>
      </c>
      <c r="C317" s="34" t="s">
        <v>668</v>
      </c>
      <c r="D317" s="35" t="s">
        <v>233</v>
      </c>
      <c r="E317" s="36">
        <v>46111</v>
      </c>
      <c r="F317" s="37"/>
      <c r="G317" s="38"/>
      <c r="H317" s="75"/>
      <c r="I317" s="183" t="s">
        <v>21</v>
      </c>
      <c r="J317" s="32">
        <v>46041</v>
      </c>
      <c r="K317" s="32" t="s">
        <v>22</v>
      </c>
      <c r="L317" s="72">
        <v>1178.29</v>
      </c>
      <c r="M317" s="72">
        <v>1225</v>
      </c>
      <c r="N317" s="40"/>
      <c r="O317" s="71">
        <v>1</v>
      </c>
      <c r="P317" s="14">
        <f>Table2[[#This Row],[Sale Cost]]-Table2[[#This Row],[Fare Cost]]</f>
        <v>46.710000000000036</v>
      </c>
      <c r="Q317" s="162"/>
      <c r="R317" s="166" t="s">
        <v>585</v>
      </c>
      <c r="S317" s="162"/>
    </row>
    <row r="318" spans="2:19">
      <c r="B318" s="33" t="s">
        <v>669</v>
      </c>
      <c r="C318" s="34" t="s">
        <v>670</v>
      </c>
      <c r="D318" s="35" t="s">
        <v>26</v>
      </c>
      <c r="E318" s="36">
        <v>46042</v>
      </c>
      <c r="F318" s="37">
        <v>46084</v>
      </c>
      <c r="G318" s="38"/>
      <c r="H318" s="75"/>
      <c r="I318" s="183" t="s">
        <v>21</v>
      </c>
      <c r="J318" s="32">
        <v>46041</v>
      </c>
      <c r="K318" s="32" t="s">
        <v>22</v>
      </c>
      <c r="L318" s="72">
        <v>660.99</v>
      </c>
      <c r="M318" s="72">
        <v>725</v>
      </c>
      <c r="N318" s="40"/>
      <c r="O318" s="71">
        <v>1</v>
      </c>
      <c r="P318" s="14">
        <f>Table2[[#This Row],[Sale Cost]]-Table2[[#This Row],[Fare Cost]]</f>
        <v>64.009999999999991</v>
      </c>
      <c r="Q318" s="162"/>
      <c r="R318" s="166" t="s">
        <v>426</v>
      </c>
      <c r="S318" s="162"/>
    </row>
    <row r="319" spans="2:19">
      <c r="B319" s="33" t="s">
        <v>671</v>
      </c>
      <c r="C319" s="34" t="s">
        <v>672</v>
      </c>
      <c r="D319" s="35" t="s">
        <v>26</v>
      </c>
      <c r="E319" s="36">
        <v>46043</v>
      </c>
      <c r="F319" s="37">
        <v>46055</v>
      </c>
      <c r="G319" s="38"/>
      <c r="H319" s="75"/>
      <c r="I319" s="183" t="s">
        <v>21</v>
      </c>
      <c r="J319" s="32">
        <v>46041</v>
      </c>
      <c r="K319" s="32" t="s">
        <v>22</v>
      </c>
      <c r="L319" s="72">
        <v>739.99</v>
      </c>
      <c r="M319" s="72">
        <v>865</v>
      </c>
      <c r="N319" s="40"/>
      <c r="O319" s="71">
        <v>1</v>
      </c>
      <c r="P319" s="14">
        <f>Table2[[#This Row],[Sale Cost]]-Table2[[#This Row],[Fare Cost]]</f>
        <v>125.00999999999999</v>
      </c>
      <c r="Q319" s="162"/>
      <c r="R319" s="166" t="s">
        <v>426</v>
      </c>
      <c r="S319" s="162"/>
    </row>
    <row r="320" spans="2:19">
      <c r="B320" s="33" t="s">
        <v>673</v>
      </c>
      <c r="C320" s="34" t="s">
        <v>674</v>
      </c>
      <c r="D320" s="35" t="s">
        <v>26</v>
      </c>
      <c r="E320" s="36">
        <v>46043</v>
      </c>
      <c r="F320" s="37">
        <v>46055</v>
      </c>
      <c r="G320" s="38"/>
      <c r="H320" s="75"/>
      <c r="I320" s="183" t="s">
        <v>21</v>
      </c>
      <c r="J320" s="32">
        <v>46041</v>
      </c>
      <c r="K320" s="32" t="s">
        <v>22</v>
      </c>
      <c r="L320" s="72">
        <v>1974.5</v>
      </c>
      <c r="N320" s="40"/>
      <c r="O320" s="71">
        <v>2</v>
      </c>
      <c r="P320" s="14">
        <f>Table2[[#This Row],[Sale Cost]]-Table2[[#This Row],[Fare Cost]]</f>
        <v>-1974.5</v>
      </c>
      <c r="Q320" s="162"/>
      <c r="R320" s="166" t="s">
        <v>585</v>
      </c>
      <c r="S320" s="162"/>
    </row>
    <row r="321" spans="2:19">
      <c r="B321" s="33" t="s">
        <v>597</v>
      </c>
      <c r="C321" s="34" t="s">
        <v>598</v>
      </c>
      <c r="D321" s="35" t="s">
        <v>46</v>
      </c>
      <c r="E321" s="36">
        <v>46124</v>
      </c>
      <c r="F321" s="37">
        <v>46172</v>
      </c>
      <c r="G321" s="38"/>
      <c r="H321" s="75"/>
      <c r="I321" s="183" t="s">
        <v>21</v>
      </c>
      <c r="J321" s="32">
        <v>46042</v>
      </c>
      <c r="K321" s="216" t="s">
        <v>47</v>
      </c>
      <c r="L321" s="72">
        <v>48.3</v>
      </c>
      <c r="M321" s="72">
        <v>375</v>
      </c>
      <c r="N321" s="40"/>
      <c r="O321" s="71">
        <v>3</v>
      </c>
      <c r="P321" s="14">
        <f>Table2[[#This Row],[Sale Cost]]-Table2[[#This Row],[Fare Cost]]</f>
        <v>326.7</v>
      </c>
      <c r="Q321" s="162"/>
      <c r="R321" s="166" t="s">
        <v>420</v>
      </c>
      <c r="S321" s="162"/>
    </row>
    <row r="322" spans="2:19">
      <c r="B322" s="33" t="s">
        <v>675</v>
      </c>
      <c r="C322" s="34" t="s">
        <v>676</v>
      </c>
      <c r="D322" s="35" t="s">
        <v>458</v>
      </c>
      <c r="E322" s="36">
        <v>46144</v>
      </c>
      <c r="F322" s="37">
        <v>46179</v>
      </c>
      <c r="G322" s="38"/>
      <c r="H322" s="75"/>
      <c r="I322" s="183" t="s">
        <v>21</v>
      </c>
      <c r="J322" s="32">
        <v>46045</v>
      </c>
      <c r="K322" s="32" t="s">
        <v>22</v>
      </c>
      <c r="L322" s="72">
        <v>850.9</v>
      </c>
      <c r="M322" s="72">
        <v>850.9</v>
      </c>
      <c r="N322" s="40"/>
      <c r="O322" s="71">
        <v>0</v>
      </c>
      <c r="P322" s="14">
        <f>Table2[[#This Row],[Sale Cost]]-Table2[[#This Row],[Fare Cost]]</f>
        <v>0</v>
      </c>
      <c r="Q322" s="162"/>
      <c r="R322" s="166" t="s">
        <v>426</v>
      </c>
      <c r="S322" s="162"/>
    </row>
    <row r="323" spans="2:19">
      <c r="B323" s="33" t="s">
        <v>677</v>
      </c>
      <c r="C323" s="34" t="s">
        <v>678</v>
      </c>
      <c r="D323" s="35" t="s">
        <v>233</v>
      </c>
      <c r="E323" s="36">
        <v>46234</v>
      </c>
      <c r="F323" s="37">
        <v>46271</v>
      </c>
      <c r="G323" s="38"/>
      <c r="H323" s="75"/>
      <c r="I323" s="183" t="s">
        <v>21</v>
      </c>
      <c r="J323" s="32">
        <v>46046</v>
      </c>
      <c r="K323" s="32" t="s">
        <v>22</v>
      </c>
      <c r="L323" s="72">
        <v>3044.36</v>
      </c>
      <c r="M323" s="72">
        <v>3425</v>
      </c>
      <c r="N323" s="40"/>
      <c r="O323" s="71">
        <v>4</v>
      </c>
      <c r="P323" s="14">
        <f>Table2[[#This Row],[Sale Cost]]-Table2[[#This Row],[Fare Cost]]</f>
        <v>380.63999999999987</v>
      </c>
      <c r="Q323" s="162"/>
      <c r="R323" s="166" t="s">
        <v>420</v>
      </c>
      <c r="S323" s="162"/>
    </row>
    <row r="324" spans="2:19">
      <c r="B324" s="33" t="s">
        <v>679</v>
      </c>
      <c r="C324" s="34" t="s">
        <v>680</v>
      </c>
      <c r="D324" s="35" t="s">
        <v>233</v>
      </c>
      <c r="E324" s="36">
        <v>46234</v>
      </c>
      <c r="F324" s="37">
        <v>46271</v>
      </c>
      <c r="G324" s="38"/>
      <c r="H324" s="75"/>
      <c r="I324" s="183" t="s">
        <v>21</v>
      </c>
      <c r="J324" s="32">
        <v>46046</v>
      </c>
      <c r="K324" s="32" t="s">
        <v>22</v>
      </c>
      <c r="L324" s="72">
        <v>627.09</v>
      </c>
      <c r="M324" s="72">
        <v>675</v>
      </c>
      <c r="N324" s="40"/>
      <c r="O324" s="71">
        <v>1</v>
      </c>
      <c r="P324" s="14">
        <f>Table2[[#This Row],[Sale Cost]]-Table2[[#This Row],[Fare Cost]]</f>
        <v>47.909999999999968</v>
      </c>
      <c r="Q324" s="162"/>
      <c r="R324" s="166" t="s">
        <v>420</v>
      </c>
      <c r="S324" s="162"/>
    </row>
    <row r="325" spans="2:19">
      <c r="B325" s="33" t="s">
        <v>169</v>
      </c>
      <c r="C325" s="34" t="s">
        <v>681</v>
      </c>
      <c r="D325" s="35" t="s">
        <v>30</v>
      </c>
      <c r="E325" s="36">
        <v>46060</v>
      </c>
      <c r="F325" s="37">
        <v>46144</v>
      </c>
      <c r="G325" s="38"/>
      <c r="H325" s="75"/>
      <c r="I325" s="183" t="s">
        <v>21</v>
      </c>
      <c r="J325" s="32">
        <v>46046</v>
      </c>
      <c r="K325" s="32" t="s">
        <v>22</v>
      </c>
      <c r="L325" s="72">
        <v>629.19000000000005</v>
      </c>
      <c r="M325" s="72">
        <v>695</v>
      </c>
      <c r="N325" s="40"/>
      <c r="O325" s="71">
        <v>1</v>
      </c>
      <c r="P325" s="14">
        <f>Table2[[#This Row],[Sale Cost]]-Table2[[#This Row],[Fare Cost]]</f>
        <v>65.809999999999945</v>
      </c>
      <c r="Q325" s="162"/>
      <c r="R325" s="166" t="s">
        <v>420</v>
      </c>
      <c r="S325" s="162"/>
    </row>
    <row r="326" spans="2:19">
      <c r="B326" s="33" t="s">
        <v>682</v>
      </c>
      <c r="C326" s="34" t="s">
        <v>683</v>
      </c>
      <c r="D326" s="35" t="s">
        <v>233</v>
      </c>
      <c r="E326" s="36">
        <v>46228</v>
      </c>
      <c r="F326" s="37"/>
      <c r="G326" s="38"/>
      <c r="H326" s="75"/>
      <c r="I326" s="183" t="s">
        <v>21</v>
      </c>
      <c r="J326" s="32">
        <v>46051</v>
      </c>
      <c r="K326" s="32" t="s">
        <v>22</v>
      </c>
      <c r="L326" s="72">
        <v>1235.2</v>
      </c>
      <c r="N326" s="40"/>
      <c r="O326" s="71">
        <v>0</v>
      </c>
      <c r="P326" s="14">
        <f>Table2[[#This Row],[Sale Cost]]-Table2[[#This Row],[Fare Cost]]</f>
        <v>-1235.2</v>
      </c>
      <c r="Q326" s="162"/>
      <c r="R326" s="166" t="s">
        <v>355</v>
      </c>
      <c r="S326" s="162"/>
    </row>
    <row r="327" spans="2:19">
      <c r="B327" s="33" t="s">
        <v>671</v>
      </c>
      <c r="C327" s="34" t="s">
        <v>672</v>
      </c>
      <c r="D327" s="35" t="s">
        <v>26</v>
      </c>
      <c r="E327" s="36">
        <v>46061</v>
      </c>
      <c r="F327" s="37"/>
      <c r="G327" s="38"/>
      <c r="H327" s="75"/>
      <c r="I327" s="183" t="s">
        <v>21</v>
      </c>
      <c r="J327" s="32">
        <v>46052</v>
      </c>
      <c r="K327" s="123" t="s">
        <v>47</v>
      </c>
      <c r="L327" s="72">
        <v>140</v>
      </c>
      <c r="M327" s="72">
        <v>245</v>
      </c>
      <c r="N327" s="40"/>
      <c r="O327" s="71">
        <v>1</v>
      </c>
      <c r="P327" s="14">
        <f>Table2[[#This Row],[Sale Cost]]-Table2[[#This Row],[Fare Cost]]</f>
        <v>105</v>
      </c>
      <c r="Q327" s="162"/>
      <c r="R327" s="166" t="s">
        <v>420</v>
      </c>
      <c r="S327" s="162"/>
    </row>
    <row r="328" spans="2:19">
      <c r="B328" s="33" t="s">
        <v>684</v>
      </c>
      <c r="C328" s="34" t="s">
        <v>674</v>
      </c>
      <c r="D328" s="35" t="s">
        <v>26</v>
      </c>
      <c r="E328" s="36">
        <v>46067</v>
      </c>
      <c r="F328" s="37"/>
      <c r="G328" s="38"/>
      <c r="H328" s="75"/>
      <c r="I328" s="183" t="s">
        <v>21</v>
      </c>
      <c r="J328" s="32">
        <v>46052</v>
      </c>
      <c r="K328" s="123" t="s">
        <v>47</v>
      </c>
      <c r="L328" s="72">
        <v>222</v>
      </c>
      <c r="M328" s="72">
        <v>390</v>
      </c>
      <c r="N328" s="40"/>
      <c r="O328" s="71">
        <v>2</v>
      </c>
      <c r="P328" s="14">
        <f>Table2[[#This Row],[Sale Cost]]-Table2[[#This Row],[Fare Cost]]</f>
        <v>168</v>
      </c>
      <c r="Q328" s="162"/>
      <c r="R328" s="166" t="s">
        <v>420</v>
      </c>
      <c r="S328" s="162"/>
    </row>
    <row r="329" spans="2:19">
      <c r="B329" s="33" t="s">
        <v>682</v>
      </c>
      <c r="C329" s="34"/>
      <c r="E329" s="36"/>
      <c r="F329" s="37"/>
      <c r="G329" s="38"/>
      <c r="H329" s="75"/>
      <c r="I329" s="183" t="s">
        <v>21</v>
      </c>
      <c r="J329" s="32"/>
      <c r="K329" s="32" t="s">
        <v>22</v>
      </c>
      <c r="N329" s="40"/>
      <c r="O329" s="71"/>
      <c r="P329" s="14">
        <f>Table2[[#This Row],[Sale Cost]]-Table2[[#This Row],[Fare Cost]]</f>
        <v>0</v>
      </c>
      <c r="Q329" s="162"/>
      <c r="R329" s="166"/>
      <c r="S329" s="162"/>
    </row>
    <row r="330" spans="2:19">
      <c r="C330" s="34"/>
      <c r="E330" s="36"/>
      <c r="F330" s="37"/>
      <c r="G330" s="38"/>
      <c r="H330" s="75"/>
      <c r="I330" s="183" t="s">
        <v>21</v>
      </c>
      <c r="J330" s="32"/>
      <c r="K330" s="32" t="s">
        <v>22</v>
      </c>
      <c r="N330" s="40"/>
      <c r="O330" s="71"/>
      <c r="P330" s="14">
        <f>Table2[[#This Row],[Sale Cost]]-Table2[[#This Row],[Fare Cost]]</f>
        <v>0</v>
      </c>
      <c r="Q330" s="162"/>
      <c r="R330" s="166"/>
      <c r="S330" s="162"/>
    </row>
    <row r="331" spans="2:19">
      <c r="C331" s="34"/>
      <c r="E331" s="36"/>
      <c r="F331" s="37"/>
      <c r="G331" s="38"/>
      <c r="H331" s="75"/>
      <c r="I331" s="183" t="s">
        <v>21</v>
      </c>
      <c r="J331" s="32"/>
      <c r="K331" s="32" t="s">
        <v>22</v>
      </c>
      <c r="N331" s="40"/>
      <c r="O331" s="71"/>
      <c r="P331" s="14">
        <f>Table2[[#This Row],[Sale Cost]]-Table2[[#This Row],[Fare Cost]]</f>
        <v>0</v>
      </c>
      <c r="Q331" s="162"/>
      <c r="R331" s="166"/>
      <c r="S331" s="162"/>
    </row>
    <row r="332" spans="2:19">
      <c r="C332" s="34"/>
      <c r="E332" s="36"/>
      <c r="F332" s="37"/>
      <c r="G332" s="38"/>
      <c r="H332" s="75"/>
      <c r="I332" s="183" t="s">
        <v>21</v>
      </c>
      <c r="J332" s="32"/>
      <c r="K332" s="32" t="s">
        <v>22</v>
      </c>
      <c r="N332" s="40"/>
      <c r="O332" s="71"/>
      <c r="P332" s="14">
        <f>Table2[[#This Row],[Sale Cost]]-Table2[[#This Row],[Fare Cost]]</f>
        <v>0</v>
      </c>
      <c r="Q332" s="162"/>
      <c r="R332" s="166"/>
      <c r="S332" s="162"/>
    </row>
    <row r="333" spans="2:19">
      <c r="C333" s="34"/>
      <c r="E333" s="36"/>
      <c r="F333" s="37"/>
      <c r="G333" s="38"/>
      <c r="H333" s="75"/>
      <c r="I333" s="183" t="s">
        <v>21</v>
      </c>
      <c r="J333" s="32"/>
      <c r="K333" s="32" t="s">
        <v>22</v>
      </c>
      <c r="N333" s="40"/>
      <c r="O333" s="71"/>
      <c r="P333" s="14">
        <f>Table2[[#This Row],[Sale Cost]]-Table2[[#This Row],[Fare Cost]]</f>
        <v>0</v>
      </c>
      <c r="Q333" s="162"/>
      <c r="R333" s="166"/>
      <c r="S333" s="162"/>
    </row>
    <row r="334" spans="2:19">
      <c r="C334" s="34"/>
      <c r="E334" s="36"/>
      <c r="F334" s="37"/>
      <c r="G334" s="38"/>
      <c r="H334" s="75"/>
      <c r="I334" s="183" t="s">
        <v>21</v>
      </c>
      <c r="J334" s="32"/>
      <c r="K334" s="32" t="s">
        <v>22</v>
      </c>
      <c r="N334" s="40"/>
      <c r="O334" s="71"/>
      <c r="P334" s="14">
        <f>Table2[[#This Row],[Sale Cost]]-Table2[[#This Row],[Fare Cost]]</f>
        <v>0</v>
      </c>
      <c r="Q334" s="162"/>
      <c r="R334" s="166"/>
      <c r="S334" s="162"/>
    </row>
    <row r="335" spans="2:19">
      <c r="C335" s="34"/>
      <c r="E335" s="36"/>
      <c r="F335" s="37"/>
      <c r="G335" s="38"/>
      <c r="H335" s="75"/>
      <c r="I335" s="183" t="s">
        <v>21</v>
      </c>
      <c r="J335" s="32"/>
      <c r="K335" s="32" t="s">
        <v>22</v>
      </c>
      <c r="N335" s="40"/>
      <c r="O335" s="71"/>
      <c r="P335" s="14">
        <f>Table2[[#This Row],[Sale Cost]]-Table2[[#This Row],[Fare Cost]]</f>
        <v>0</v>
      </c>
      <c r="Q335" s="162"/>
      <c r="R335" s="166"/>
      <c r="S335" s="162"/>
    </row>
    <row r="336" spans="2:19">
      <c r="C336" s="34"/>
      <c r="E336" s="36"/>
      <c r="F336" s="37"/>
      <c r="G336" s="38"/>
      <c r="H336" s="75"/>
      <c r="I336" s="183" t="s">
        <v>21</v>
      </c>
      <c r="J336" s="32"/>
      <c r="K336" s="32" t="s">
        <v>22</v>
      </c>
      <c r="N336" s="40"/>
      <c r="O336" s="71"/>
      <c r="P336" s="14">
        <f>Table2[[#This Row],[Sale Cost]]-Table2[[#This Row],[Fare Cost]]</f>
        <v>0</v>
      </c>
      <c r="Q336" s="162"/>
      <c r="R336" s="166"/>
      <c r="S336" s="162"/>
    </row>
    <row r="337" spans="2:21">
      <c r="C337" s="34"/>
      <c r="E337" s="36"/>
      <c r="F337" s="37"/>
      <c r="G337" s="38"/>
      <c r="H337" s="75"/>
      <c r="I337" s="183" t="s">
        <v>21</v>
      </c>
      <c r="J337" s="32"/>
      <c r="K337" s="32"/>
      <c r="N337" s="40"/>
      <c r="O337" s="71"/>
      <c r="P337" s="14">
        <f>Table2[[#This Row],[Sale Cost]]-Table2[[#This Row],[Fare Cost]]</f>
        <v>0</v>
      </c>
      <c r="Q337" s="162"/>
      <c r="R337" s="166"/>
      <c r="S337" s="162"/>
    </row>
    <row r="338" spans="2:21">
      <c r="C338" s="34"/>
      <c r="E338" s="36"/>
      <c r="F338" s="37"/>
      <c r="G338" s="38"/>
      <c r="H338" s="75"/>
      <c r="I338" s="183" t="s">
        <v>21</v>
      </c>
      <c r="J338" s="32"/>
      <c r="K338" s="32"/>
      <c r="N338" s="40"/>
      <c r="O338" s="71"/>
      <c r="P338" s="14">
        <f>Table2[[#This Row],[Sale Cost]]-Table2[[#This Row],[Fare Cost]]</f>
        <v>0</v>
      </c>
      <c r="Q338" s="162"/>
      <c r="R338" s="166"/>
      <c r="S338" s="162"/>
    </row>
    <row r="339" spans="2:21">
      <c r="C339" s="34"/>
      <c r="E339" s="36"/>
      <c r="F339" s="37"/>
      <c r="G339" s="38"/>
      <c r="H339" s="75"/>
      <c r="I339" s="183" t="s">
        <v>21</v>
      </c>
      <c r="J339" s="32"/>
      <c r="K339" s="32"/>
      <c r="N339" s="40"/>
      <c r="O339" s="71"/>
      <c r="P339" s="14">
        <f>Table2[[#This Row],[Sale Cost]]-Table2[[#This Row],[Fare Cost]]</f>
        <v>0</v>
      </c>
      <c r="Q339" s="162"/>
      <c r="R339" s="166"/>
      <c r="S339" s="162"/>
    </row>
    <row r="340" spans="2:21">
      <c r="C340" s="34"/>
      <c r="E340" s="36"/>
      <c r="F340" s="37"/>
      <c r="G340" s="38"/>
      <c r="H340" s="75"/>
      <c r="I340" s="183" t="s">
        <v>21</v>
      </c>
      <c r="J340" s="32"/>
      <c r="K340" s="32" t="s">
        <v>22</v>
      </c>
      <c r="N340" s="40"/>
      <c r="O340" s="71"/>
      <c r="P340" s="14">
        <f>Table2[[#This Row],[Sale Cost]]-Table2[[#This Row],[Fare Cost]]</f>
        <v>0</v>
      </c>
      <c r="Q340" s="162"/>
      <c r="R340" s="166"/>
      <c r="S340" s="162"/>
    </row>
    <row r="341" spans="2:21">
      <c r="C341" s="34"/>
      <c r="E341" s="36"/>
      <c r="F341" s="37"/>
      <c r="G341" s="38"/>
      <c r="H341" s="75"/>
      <c r="I341" s="183" t="s">
        <v>21</v>
      </c>
      <c r="J341" s="32">
        <v>46038</v>
      </c>
      <c r="K341" s="32" t="s">
        <v>22</v>
      </c>
      <c r="N341" s="40"/>
      <c r="O341" s="71"/>
      <c r="P341" s="14">
        <f>Table2[[#This Row],[Sale Cost]]-Table2[[#This Row],[Fare Cost]]</f>
        <v>0</v>
      </c>
      <c r="Q341" s="162"/>
      <c r="R341" s="166"/>
      <c r="S341" s="162"/>
    </row>
    <row r="342" spans="2:21">
      <c r="C342" s="34"/>
      <c r="E342" s="36"/>
      <c r="F342" s="37"/>
      <c r="G342" s="38"/>
      <c r="H342" s="75"/>
      <c r="I342" s="183" t="s">
        <v>21</v>
      </c>
      <c r="J342" s="32">
        <v>46039</v>
      </c>
      <c r="K342" s="32" t="s">
        <v>22</v>
      </c>
      <c r="N342" s="40"/>
      <c r="O342" s="71"/>
      <c r="P342" s="14">
        <f>Table2[[#This Row],[Sale Cost]]-Table2[[#This Row],[Fare Cost]]</f>
        <v>0</v>
      </c>
      <c r="Q342" s="162"/>
      <c r="R342" s="166"/>
      <c r="S342" s="162"/>
    </row>
    <row r="343" spans="2:21">
      <c r="C343" s="34"/>
      <c r="E343" s="36"/>
      <c r="F343" s="37"/>
      <c r="G343" s="38"/>
      <c r="H343" s="75"/>
      <c r="I343" s="183" t="s">
        <v>21</v>
      </c>
      <c r="J343" s="32"/>
      <c r="K343" s="32"/>
      <c r="N343" s="40"/>
      <c r="O343" s="71"/>
      <c r="P343" s="14">
        <f>Table2[[#This Row],[Sale Cost]]-Table2[[#This Row],[Fare Cost]]</f>
        <v>0</v>
      </c>
      <c r="Q343" s="162"/>
      <c r="R343" s="166"/>
      <c r="S343" s="162"/>
    </row>
    <row r="344" spans="2:21">
      <c r="C344" s="34"/>
      <c r="E344" s="36"/>
      <c r="F344" s="37"/>
      <c r="G344" s="38"/>
      <c r="H344" s="75"/>
      <c r="I344" s="183" t="s">
        <v>21</v>
      </c>
      <c r="J344" s="32">
        <v>45962</v>
      </c>
      <c r="K344" s="32"/>
      <c r="L344" s="72">
        <v>0</v>
      </c>
      <c r="M344" s="72">
        <v>0</v>
      </c>
      <c r="N344" s="40"/>
      <c r="O344" s="71">
        <v>0</v>
      </c>
      <c r="P344" s="14">
        <f>Table2[[#This Row],[Sale Cost]]-Table2[[#This Row],[Fare Cost]]</f>
        <v>0</v>
      </c>
      <c r="Q344" s="162">
        <f>MONTH(Table2[[#This Row],[Issued date]])</f>
        <v>11</v>
      </c>
      <c r="R344" s="166"/>
      <c r="S344" s="162"/>
      <c r="T344" s="226" t="s">
        <v>685</v>
      </c>
      <c r="U344" s="227"/>
    </row>
    <row r="345" spans="2:21">
      <c r="C345" s="34"/>
      <c r="E345" s="36"/>
      <c r="F345" s="37"/>
      <c r="G345" s="38"/>
      <c r="H345" s="39"/>
      <c r="I345" s="183" t="s">
        <v>21</v>
      </c>
      <c r="J345" s="32">
        <v>45992</v>
      </c>
      <c r="K345" s="32"/>
      <c r="L345" s="72">
        <v>0</v>
      </c>
      <c r="M345" s="72">
        <v>0</v>
      </c>
      <c r="N345" s="40"/>
      <c r="O345" s="71">
        <v>0</v>
      </c>
      <c r="P345" s="14">
        <f>Table2[[#This Row],[Sale Cost]]-Table2[[#This Row],[Fare Cost]]</f>
        <v>0</v>
      </c>
      <c r="Q345" s="162">
        <f>MONTH(Table2[[#This Row],[Issued date]])</f>
        <v>12</v>
      </c>
      <c r="R345" s="166"/>
      <c r="S345" s="162"/>
      <c r="T345" s="228"/>
      <c r="U345" s="229"/>
    </row>
    <row r="346" spans="2:21">
      <c r="B346" s="65" t="s">
        <v>686</v>
      </c>
      <c r="C346" s="78"/>
      <c r="D346" s="79"/>
      <c r="E346" s="80"/>
      <c r="F346" s="80"/>
      <c r="G346" s="80"/>
      <c r="H346" s="80"/>
      <c r="I346" s="80"/>
      <c r="J346" s="80"/>
      <c r="K346" s="80"/>
      <c r="L346" s="81">
        <f>SUM(L2:L345)</f>
        <v>372689.20000000007</v>
      </c>
      <c r="M346" s="81">
        <f>SUM(M2:M345)</f>
        <v>369986.13000000006</v>
      </c>
      <c r="N346" s="65"/>
      <c r="O346" s="82">
        <f>SUM(O2:O345)</f>
        <v>473.5</v>
      </c>
      <c r="P346" s="15">
        <f>Table2[[#This Row],[Sale Cost]]-Table2[[#This Row],[Fare Cost]]</f>
        <v>-2703.070000000007</v>
      </c>
      <c r="Q346" s="170"/>
      <c r="R346" s="171"/>
      <c r="S346" s="162"/>
    </row>
    <row r="347" spans="2:21">
      <c r="J347" s="32"/>
    </row>
    <row r="348" spans="2:21">
      <c r="J348" s="32"/>
    </row>
    <row r="349" spans="2:21">
      <c r="J349" s="32"/>
    </row>
    <row r="350" spans="2:21">
      <c r="J350" s="32"/>
    </row>
    <row r="351" spans="2:21">
      <c r="J351" s="32"/>
    </row>
  </sheetData>
  <mergeCells count="2">
    <mergeCell ref="T3:U4"/>
    <mergeCell ref="T344:U345"/>
  </mergeCells>
  <conditionalFormatting sqref="E2:E345">
    <cfRule type="expression" dxfId="50" priority="1">
      <formula>AND(E2-TODAY()&gt;=8, E2-TODAY()&lt;=14, I2&lt;&gt;"X")</formula>
    </cfRule>
    <cfRule type="expression" dxfId="49" priority="2">
      <formula>AND(E2-TODAY()&lt;=8, I2&lt;&gt;"X")</formula>
    </cfRule>
  </conditionalFormatting>
  <conditionalFormatting sqref="G2:H121 G128:H345">
    <cfRule type="timePeriod" dxfId="48" priority="3" timePeriod="tomorrow">
      <formula>FLOOR(G2,1)=TODAY()+1</formula>
    </cfRule>
    <cfRule type="timePeriod" dxfId="47" priority="4" timePeriod="today">
      <formula>FLOOR(G2,1)=TODAY()</formula>
    </cfRule>
  </conditionalFormatting>
  <hyperlinks>
    <hyperlink ref="T3:U4" location="'Ledger'!S234" display="Go to Bottom" xr:uid="{18FFAA70-D373-41E4-B68A-3EFFED671186}"/>
    <hyperlink ref="T344:U345" location="'Ledger'!S2" display="Go to Top" xr:uid="{AF6A9963-5725-4FEA-ABFF-9B179D54B813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3D24-4564-440A-BC0A-9C4AF1D068C8}">
  <sheetPr>
    <tabColor rgb="FF00B050"/>
  </sheetPr>
  <dimension ref="A1:Q28"/>
  <sheetViews>
    <sheetView workbookViewId="0">
      <selection activeCell="A13" sqref="A13:XFD13"/>
    </sheetView>
  </sheetViews>
  <sheetFormatPr defaultRowHeight="15"/>
  <cols>
    <col min="1" max="1" width="12.42578125" bestFit="1" customWidth="1"/>
    <col min="2" max="2" width="20.42578125" customWidth="1"/>
    <col min="3" max="3" width="15" customWidth="1"/>
    <col min="4" max="4" width="17.140625" style="1" bestFit="1" customWidth="1"/>
    <col min="5" max="5" width="16.42578125" style="1" customWidth="1"/>
    <col min="6" max="6" width="11.7109375" bestFit="1" customWidth="1"/>
    <col min="7" max="7" width="11.140625" bestFit="1" customWidth="1"/>
    <col min="8" max="8" width="14.85546875" bestFit="1" customWidth="1"/>
    <col min="9" max="9" width="10" bestFit="1" customWidth="1"/>
    <col min="10" max="10" width="11.140625" bestFit="1" customWidth="1"/>
    <col min="11" max="11" width="16" style="1" bestFit="1" customWidth="1"/>
    <col min="12" max="12" width="13.28515625" customWidth="1"/>
    <col min="13" max="13" width="11.140625" style="9" bestFit="1" customWidth="1"/>
    <col min="14" max="14" width="12.28515625" customWidth="1"/>
    <col min="15" max="15" width="36.85546875" customWidth="1"/>
    <col min="17" max="17" width="9.42578125" hidden="1" customWidth="1"/>
  </cols>
  <sheetData>
    <row r="1" spans="1:17">
      <c r="A1" s="4" t="s">
        <v>687</v>
      </c>
      <c r="B1" s="5" t="s">
        <v>0</v>
      </c>
      <c r="C1" s="5" t="s">
        <v>1</v>
      </c>
      <c r="D1" s="49" t="s">
        <v>3</v>
      </c>
      <c r="E1" s="49" t="s">
        <v>4</v>
      </c>
      <c r="F1" s="5" t="s">
        <v>688</v>
      </c>
      <c r="G1" s="5" t="s">
        <v>689</v>
      </c>
      <c r="H1" s="5" t="s">
        <v>690</v>
      </c>
      <c r="I1" s="5" t="s">
        <v>691</v>
      </c>
      <c r="J1" s="5" t="s">
        <v>692</v>
      </c>
      <c r="K1" s="49" t="s">
        <v>693</v>
      </c>
      <c r="L1" s="5" t="s">
        <v>694</v>
      </c>
      <c r="M1" s="8" t="s">
        <v>7</v>
      </c>
      <c r="N1" s="5" t="s">
        <v>695</v>
      </c>
      <c r="O1" s="5" t="s">
        <v>696</v>
      </c>
      <c r="P1" s="2" t="s">
        <v>697</v>
      </c>
      <c r="Q1" s="33" t="s">
        <v>15</v>
      </c>
    </row>
    <row r="2" spans="1:17">
      <c r="A2" s="1">
        <v>45658</v>
      </c>
      <c r="B2" s="44"/>
      <c r="F2" s="27">
        <v>0</v>
      </c>
      <c r="G2" s="27">
        <v>0</v>
      </c>
      <c r="H2" s="27">
        <v>0</v>
      </c>
      <c r="I2" s="27">
        <v>0</v>
      </c>
      <c r="J2" s="53">
        <f>SUM(Table3[[#This Row],[Ticket (£)]:[Visa (£)]])</f>
        <v>0</v>
      </c>
      <c r="K2" s="7"/>
      <c r="L2" s="54">
        <v>0</v>
      </c>
      <c r="N2" s="52">
        <f>L2-J2</f>
        <v>0</v>
      </c>
      <c r="P2" s="46">
        <f t="shared" ref="P2:P27" si="0">N2*10%</f>
        <v>0</v>
      </c>
      <c r="Q2" s="33">
        <f>MONTH(Table3[[#This Row],[Issue Date]])</f>
        <v>1</v>
      </c>
    </row>
    <row r="3" spans="1:17">
      <c r="A3" s="51">
        <v>45839</v>
      </c>
      <c r="B3" s="44" t="s">
        <v>698</v>
      </c>
      <c r="C3" t="s">
        <v>322</v>
      </c>
      <c r="D3" s="1">
        <v>45933</v>
      </c>
      <c r="E3" s="1">
        <v>45940</v>
      </c>
      <c r="F3" s="27">
        <v>2398.1</v>
      </c>
      <c r="G3" s="27">
        <f>484.42+256.99</f>
        <v>741.41000000000008</v>
      </c>
      <c r="H3" s="27">
        <v>221</v>
      </c>
      <c r="I3" s="27">
        <v>225</v>
      </c>
      <c r="J3" s="53">
        <f>SUM(Table3[[#This Row],[Ticket (£)]:[Visa (£)]])</f>
        <v>3585.51</v>
      </c>
      <c r="K3" s="7">
        <f>DATE(2025,7,1)</f>
        <v>45839</v>
      </c>
      <c r="L3" s="54">
        <v>4425</v>
      </c>
      <c r="M3" s="117" t="s">
        <v>21</v>
      </c>
      <c r="N3" s="52">
        <f t="shared" ref="N2:N27" si="1">L3-J3</f>
        <v>839.48999999999978</v>
      </c>
      <c r="O3" t="s">
        <v>699</v>
      </c>
      <c r="P3" s="46">
        <f>N3*10%</f>
        <v>83.948999999999984</v>
      </c>
      <c r="Q3" s="33">
        <f>MONTH(Table3[[#This Row],[Issue Date]])</f>
        <v>7</v>
      </c>
    </row>
    <row r="4" spans="1:17" ht="43.5">
      <c r="A4" s="51">
        <v>45870</v>
      </c>
      <c r="B4" s="44" t="s">
        <v>700</v>
      </c>
      <c r="C4" s="143" t="s">
        <v>701</v>
      </c>
      <c r="D4" s="144" t="s">
        <v>702</v>
      </c>
      <c r="E4" s="144" t="s">
        <v>703</v>
      </c>
      <c r="F4" s="27">
        <f>(720*4)+(800*2)+81.92</f>
        <v>4561.92</v>
      </c>
      <c r="G4" s="27">
        <f>2002.31</f>
        <v>2002.31</v>
      </c>
      <c r="H4" s="27">
        <v>278</v>
      </c>
      <c r="I4" s="27">
        <f>65*6</f>
        <v>390</v>
      </c>
      <c r="J4" s="53">
        <f>SUM(Table3[[#This Row],[Ticket (£)]:[Visa (£)]])</f>
        <v>7232.23</v>
      </c>
      <c r="K4" s="7">
        <v>45870</v>
      </c>
      <c r="L4" s="54">
        <v>7670</v>
      </c>
      <c r="M4" s="117" t="s">
        <v>21</v>
      </c>
      <c r="N4" s="52">
        <f t="shared" si="1"/>
        <v>437.77000000000044</v>
      </c>
      <c r="O4" s="145" t="s">
        <v>704</v>
      </c>
      <c r="P4" s="46">
        <v>0</v>
      </c>
      <c r="Q4" s="33">
        <f>MONTH(Table3[[#This Row],[Issue Date]])</f>
        <v>8</v>
      </c>
    </row>
    <row r="5" spans="1:17" ht="29.25">
      <c r="A5" s="51">
        <v>45871</v>
      </c>
      <c r="B5" s="44" t="s">
        <v>705</v>
      </c>
      <c r="C5" s="143" t="s">
        <v>706</v>
      </c>
      <c r="D5" s="144" t="s">
        <v>702</v>
      </c>
      <c r="E5" s="160">
        <v>46153</v>
      </c>
      <c r="F5" s="27">
        <f>535.82+146.2</f>
        <v>682.02</v>
      </c>
      <c r="G5" s="27">
        <f>312.62+346.57</f>
        <v>659.19</v>
      </c>
      <c r="H5" s="27">
        <v>0</v>
      </c>
      <c r="I5" s="27">
        <v>65</v>
      </c>
      <c r="J5" s="53">
        <f>SUM(Table3[[#This Row],[Ticket (£)]:[Visa (£)]])</f>
        <v>1406.21</v>
      </c>
      <c r="K5" s="7"/>
      <c r="L5" s="54">
        <v>1635</v>
      </c>
      <c r="M5" s="117" t="s">
        <v>21</v>
      </c>
      <c r="N5" s="52">
        <f t="shared" si="1"/>
        <v>228.78999999999996</v>
      </c>
      <c r="O5" t="s">
        <v>707</v>
      </c>
      <c r="P5" s="46">
        <v>0</v>
      </c>
      <c r="Q5" s="33">
        <f>MONTH(Table3[[#This Row],[Issue Date]])</f>
        <v>8</v>
      </c>
    </row>
    <row r="6" spans="1:17">
      <c r="A6" s="51">
        <v>45874</v>
      </c>
      <c r="B6" s="44" t="s">
        <v>708</v>
      </c>
      <c r="C6" t="s">
        <v>358</v>
      </c>
      <c r="D6" s="1">
        <v>45951</v>
      </c>
      <c r="E6" s="1">
        <v>45961</v>
      </c>
      <c r="F6" s="27">
        <f>SUM((457.56*4)+(367.56*2))</f>
        <v>2565.36</v>
      </c>
      <c r="G6" s="27">
        <f>898.59+690.38</f>
        <v>1588.97</v>
      </c>
      <c r="H6" s="27">
        <v>278</v>
      </c>
      <c r="I6" s="27">
        <f>65*6</f>
        <v>390</v>
      </c>
      <c r="J6" s="53">
        <f>SUM(Table3[[#This Row],[Ticket (£)]:[Visa (£)]])</f>
        <v>4822.33</v>
      </c>
      <c r="K6" s="7">
        <v>45905</v>
      </c>
      <c r="L6" s="54">
        <v>5100</v>
      </c>
      <c r="N6" s="52">
        <f t="shared" si="1"/>
        <v>277.67000000000007</v>
      </c>
      <c r="O6" t="s">
        <v>709</v>
      </c>
      <c r="P6" s="46">
        <v>0</v>
      </c>
      <c r="Q6" s="33">
        <f>MONTH(Table3[[#This Row],[Issue Date]])</f>
        <v>8</v>
      </c>
    </row>
    <row r="7" spans="1:17" ht="29.25">
      <c r="A7" s="51">
        <v>45876</v>
      </c>
      <c r="B7" s="44" t="s">
        <v>710</v>
      </c>
      <c r="C7" t="s">
        <v>363</v>
      </c>
      <c r="D7" s="144" t="s">
        <v>711</v>
      </c>
      <c r="E7" s="144" t="s">
        <v>712</v>
      </c>
      <c r="F7" s="27">
        <f>SUM((118.8*4)+(139.8*2)+(385.42*4)+(522.42*2))</f>
        <v>3341.3199999999997</v>
      </c>
      <c r="G7" s="27">
        <f>460.53+1009.26-111.02</f>
        <v>1358.77</v>
      </c>
      <c r="H7" s="27">
        <v>278</v>
      </c>
      <c r="I7" s="27">
        <f>(65*5)+200</f>
        <v>525</v>
      </c>
      <c r="J7" s="53">
        <f>SUM(Table3[[#This Row],[Ticket (£)]:[Visa (£)]])</f>
        <v>5503.09</v>
      </c>
      <c r="K7" s="7">
        <v>45876</v>
      </c>
      <c r="L7" s="54">
        <v>5900</v>
      </c>
      <c r="N7" s="52">
        <f t="shared" si="1"/>
        <v>396.90999999999985</v>
      </c>
      <c r="O7" t="s">
        <v>709</v>
      </c>
      <c r="P7" s="46">
        <v>0</v>
      </c>
      <c r="Q7" s="33">
        <f>MONTH(Table3[[#This Row],[Issue Date]])</f>
        <v>8</v>
      </c>
    </row>
    <row r="8" spans="1:17" ht="29.25">
      <c r="A8" s="51">
        <v>45883</v>
      </c>
      <c r="B8" s="161" t="s">
        <v>713</v>
      </c>
      <c r="C8" t="s">
        <v>714</v>
      </c>
      <c r="D8" s="1">
        <v>45884</v>
      </c>
      <c r="E8" s="1">
        <v>45919</v>
      </c>
      <c r="F8" s="27">
        <f>431.63+507.96</f>
        <v>939.58999999999992</v>
      </c>
      <c r="G8" s="27">
        <f>1517.3-284.18</f>
        <v>1233.1199999999999</v>
      </c>
      <c r="H8" s="27">
        <f>69.19-6.23</f>
        <v>62.959999999999994</v>
      </c>
      <c r="I8" s="27">
        <v>0</v>
      </c>
      <c r="J8" s="53">
        <f>SUM(Table3[[#This Row],[Ticket (£)]:[Visa (£)]])</f>
        <v>2235.67</v>
      </c>
      <c r="K8" s="7">
        <v>45883</v>
      </c>
      <c r="L8" s="54">
        <v>2750</v>
      </c>
      <c r="N8" s="52">
        <f t="shared" si="1"/>
        <v>514.32999999999993</v>
      </c>
      <c r="O8" t="s">
        <v>715</v>
      </c>
      <c r="P8" s="46">
        <v>0</v>
      </c>
      <c r="Q8" s="33">
        <f>MONTH(Table3[[#This Row],[Issue Date]])</f>
        <v>8</v>
      </c>
    </row>
    <row r="9" spans="1:17">
      <c r="A9" s="51">
        <v>45879</v>
      </c>
      <c r="B9" s="44" t="s">
        <v>716</v>
      </c>
      <c r="C9" t="s">
        <v>717</v>
      </c>
      <c r="D9" s="1">
        <v>45911</v>
      </c>
      <c r="E9" s="1">
        <v>45916</v>
      </c>
      <c r="F9" s="27">
        <f>408.26</f>
        <v>408.26</v>
      </c>
      <c r="G9" s="27">
        <f>456.95-50.26</f>
        <v>406.69</v>
      </c>
      <c r="H9" s="27">
        <f>70-6.3</f>
        <v>63.7</v>
      </c>
      <c r="I9" s="27">
        <v>100.76</v>
      </c>
      <c r="J9" s="53">
        <f>SUM(Table3[[#This Row],[Ticket (£)]:[Visa (£)]])</f>
        <v>979.41000000000008</v>
      </c>
      <c r="K9" s="7">
        <v>45879</v>
      </c>
      <c r="L9" s="54">
        <v>1240</v>
      </c>
      <c r="N9" s="52">
        <f t="shared" si="1"/>
        <v>260.58999999999992</v>
      </c>
      <c r="O9" t="s">
        <v>715</v>
      </c>
      <c r="P9" s="46">
        <v>0</v>
      </c>
      <c r="Q9" s="33">
        <f>MONTH(Table3[[#This Row],[Issue Date]])</f>
        <v>8</v>
      </c>
    </row>
    <row r="10" spans="1:17">
      <c r="A10" s="51">
        <v>45884</v>
      </c>
      <c r="B10" s="44" t="s">
        <v>718</v>
      </c>
      <c r="F10" s="27">
        <v>2276.52</v>
      </c>
      <c r="G10" s="27">
        <v>0</v>
      </c>
      <c r="H10" s="27">
        <v>76</v>
      </c>
      <c r="I10" s="27">
        <v>160</v>
      </c>
      <c r="J10" s="53">
        <f>SUM(Table3[[#This Row],[Ticket (£)]:[Visa (£)]])</f>
        <v>2512.52</v>
      </c>
      <c r="K10" s="7">
        <v>45885</v>
      </c>
      <c r="L10" s="54">
        <v>3000</v>
      </c>
      <c r="N10" s="52">
        <f t="shared" si="1"/>
        <v>487.48</v>
      </c>
      <c r="O10" t="s">
        <v>709</v>
      </c>
      <c r="P10" s="46">
        <v>0</v>
      </c>
      <c r="Q10" s="33">
        <f>MONTH(Table3[[#This Row],[Issue Date]])</f>
        <v>8</v>
      </c>
    </row>
    <row r="11" spans="1:17">
      <c r="A11" s="51">
        <v>45887</v>
      </c>
      <c r="B11" s="44" t="s">
        <v>719</v>
      </c>
      <c r="F11" s="27">
        <v>0</v>
      </c>
      <c r="G11" s="27">
        <f>661.56+322.19-31.5-15.34</f>
        <v>936.91</v>
      </c>
      <c r="H11" s="27">
        <v>325</v>
      </c>
      <c r="I11" s="27">
        <f>276+155</f>
        <v>431</v>
      </c>
      <c r="J11" s="53">
        <f>SUM(Table3[[#This Row],[Ticket (£)]:[Visa (£)]])</f>
        <v>1692.9099999999999</v>
      </c>
      <c r="K11" s="7"/>
      <c r="L11" s="54">
        <v>1915</v>
      </c>
      <c r="N11" s="52">
        <v>0</v>
      </c>
      <c r="O11" t="s">
        <v>715</v>
      </c>
      <c r="P11" s="46">
        <f t="shared" si="0"/>
        <v>0</v>
      </c>
      <c r="Q11" s="33">
        <f>MONTH(Table3[[#This Row],[Issue Date]])</f>
        <v>8</v>
      </c>
    </row>
    <row r="12" spans="1:17">
      <c r="A12" s="51">
        <v>45890</v>
      </c>
      <c r="B12" s="44" t="s">
        <v>720</v>
      </c>
      <c r="F12" s="27">
        <v>0</v>
      </c>
      <c r="G12" s="27">
        <f>60.76+53.03</f>
        <v>113.78999999999999</v>
      </c>
      <c r="H12" s="27">
        <v>0</v>
      </c>
      <c r="I12" s="27">
        <v>0</v>
      </c>
      <c r="J12" s="53">
        <f>SUM(Table3[[#This Row],[Ticket (£)]:[Visa (£)]])</f>
        <v>113.78999999999999</v>
      </c>
      <c r="K12" s="7"/>
      <c r="L12" s="54">
        <v>0</v>
      </c>
      <c r="N12" s="52">
        <f>L12-J12</f>
        <v>-113.78999999999999</v>
      </c>
      <c r="O12" t="s">
        <v>715</v>
      </c>
      <c r="P12" s="46">
        <v>0</v>
      </c>
      <c r="Q12" s="33">
        <f>MONTH(Table3[[#This Row],[Issue Date]])</f>
        <v>8</v>
      </c>
    </row>
    <row r="13" spans="1:17">
      <c r="A13" s="51">
        <v>45892</v>
      </c>
      <c r="B13" s="44" t="s">
        <v>721</v>
      </c>
      <c r="F13" s="27">
        <f>824.94+821.13</f>
        <v>1646.0700000000002</v>
      </c>
      <c r="G13" s="27">
        <f>395.3+169.59</f>
        <v>564.89</v>
      </c>
      <c r="H13" s="27">
        <v>300</v>
      </c>
      <c r="I13" s="27">
        <v>483.54</v>
      </c>
      <c r="J13" s="53">
        <f>SUM(Table3[[#This Row],[Ticket (£)]:[Visa (£)]])</f>
        <v>2994.5</v>
      </c>
      <c r="K13" s="7"/>
      <c r="L13" s="54">
        <v>3000</v>
      </c>
      <c r="N13" s="52">
        <f>L13-J13</f>
        <v>5.5</v>
      </c>
      <c r="O13" t="s">
        <v>715</v>
      </c>
      <c r="P13" s="46">
        <v>0</v>
      </c>
      <c r="Q13" s="33">
        <f>MONTH(Table3[[#This Row],[Issue Date]])</f>
        <v>8</v>
      </c>
    </row>
    <row r="14" spans="1:17">
      <c r="A14" s="1"/>
      <c r="B14" s="44"/>
      <c r="F14" s="27">
        <v>0</v>
      </c>
      <c r="G14" s="27">
        <v>0</v>
      </c>
      <c r="H14" s="27">
        <v>0</v>
      </c>
      <c r="I14" s="27">
        <v>0</v>
      </c>
      <c r="J14" s="53">
        <f>SUM(Table3[[#This Row],[Ticket (£)]:[Visa (£)]])</f>
        <v>0</v>
      </c>
      <c r="K14" s="7"/>
      <c r="L14" s="54">
        <v>0</v>
      </c>
      <c r="N14" s="52">
        <f t="shared" si="1"/>
        <v>0</v>
      </c>
      <c r="P14" s="46">
        <f t="shared" si="0"/>
        <v>0</v>
      </c>
      <c r="Q14" s="33">
        <f>MONTH(Table3[[#This Row],[Issue Date]])</f>
        <v>1</v>
      </c>
    </row>
    <row r="15" spans="1:17">
      <c r="A15" s="1"/>
      <c r="B15" s="44"/>
      <c r="F15" s="27">
        <v>0</v>
      </c>
      <c r="G15" s="27">
        <v>0</v>
      </c>
      <c r="H15" s="27">
        <v>0</v>
      </c>
      <c r="I15" s="27">
        <v>0</v>
      </c>
      <c r="J15" s="53">
        <f>SUM(Table3[[#This Row],[Ticket (£)]:[Visa (£)]])</f>
        <v>0</v>
      </c>
      <c r="K15" s="7"/>
      <c r="L15" s="54">
        <v>0</v>
      </c>
      <c r="N15" s="52">
        <f t="shared" si="1"/>
        <v>0</v>
      </c>
      <c r="P15" s="46">
        <f t="shared" si="0"/>
        <v>0</v>
      </c>
      <c r="Q15" s="33">
        <f>MONTH(Table3[[#This Row],[Issue Date]])</f>
        <v>1</v>
      </c>
    </row>
    <row r="16" spans="1:17">
      <c r="A16" s="1"/>
      <c r="B16" s="44"/>
      <c r="F16" s="27">
        <v>0</v>
      </c>
      <c r="G16" s="27">
        <v>0</v>
      </c>
      <c r="H16" s="27">
        <v>0</v>
      </c>
      <c r="I16" s="27">
        <v>0</v>
      </c>
      <c r="J16" s="53">
        <f>SUM(Table3[[#This Row],[Ticket (£)]:[Visa (£)]])</f>
        <v>0</v>
      </c>
      <c r="K16" s="7"/>
      <c r="L16" s="54">
        <v>0</v>
      </c>
      <c r="N16" s="52">
        <f t="shared" si="1"/>
        <v>0</v>
      </c>
      <c r="P16" s="46">
        <f t="shared" si="0"/>
        <v>0</v>
      </c>
      <c r="Q16" s="33">
        <f>MONTH(Table3[[#This Row],[Issue Date]])</f>
        <v>1</v>
      </c>
    </row>
    <row r="17" spans="1:17">
      <c r="A17" s="1"/>
      <c r="B17" s="44"/>
      <c r="F17" s="27">
        <v>0</v>
      </c>
      <c r="G17" s="27">
        <v>0</v>
      </c>
      <c r="H17" s="27">
        <v>0</v>
      </c>
      <c r="I17" s="27">
        <v>0</v>
      </c>
      <c r="J17" s="53">
        <f>SUM(Table3[[#This Row],[Ticket (£)]:[Visa (£)]])</f>
        <v>0</v>
      </c>
      <c r="K17" s="7"/>
      <c r="L17" s="54">
        <v>0</v>
      </c>
      <c r="N17" s="52">
        <f t="shared" si="1"/>
        <v>0</v>
      </c>
      <c r="P17" s="46">
        <f t="shared" si="0"/>
        <v>0</v>
      </c>
      <c r="Q17" s="33">
        <f>MONTH(Table3[[#This Row],[Issue Date]])</f>
        <v>1</v>
      </c>
    </row>
    <row r="18" spans="1:17">
      <c r="A18" s="1">
        <v>45689</v>
      </c>
      <c r="B18" s="44"/>
      <c r="F18" s="27">
        <v>0</v>
      </c>
      <c r="G18" s="27">
        <v>0</v>
      </c>
      <c r="H18" s="27">
        <v>0</v>
      </c>
      <c r="I18" s="27">
        <v>0</v>
      </c>
      <c r="J18" s="53">
        <f>SUM(Table3[[#This Row],[Ticket (£)]:[Visa (£)]])</f>
        <v>0</v>
      </c>
      <c r="K18" s="7"/>
      <c r="L18" s="54">
        <v>0</v>
      </c>
      <c r="N18" s="52">
        <f t="shared" si="1"/>
        <v>0</v>
      </c>
      <c r="P18" s="46">
        <f t="shared" si="0"/>
        <v>0</v>
      </c>
      <c r="Q18" s="33">
        <f>MONTH(Table3[[#This Row],[Issue Date]])</f>
        <v>2</v>
      </c>
    </row>
    <row r="19" spans="1:17">
      <c r="A19" s="1">
        <v>45717</v>
      </c>
      <c r="B19" s="44"/>
      <c r="F19" s="27">
        <v>0</v>
      </c>
      <c r="G19" s="27">
        <v>0</v>
      </c>
      <c r="H19" s="27">
        <v>0</v>
      </c>
      <c r="I19" s="27">
        <v>0</v>
      </c>
      <c r="J19" s="53">
        <f>SUM(Table3[[#This Row],[Ticket (£)]:[Visa (£)]])</f>
        <v>0</v>
      </c>
      <c r="K19" s="7"/>
      <c r="L19" s="54">
        <v>0</v>
      </c>
      <c r="N19" s="52">
        <f t="shared" si="1"/>
        <v>0</v>
      </c>
      <c r="P19" s="46">
        <f t="shared" si="0"/>
        <v>0</v>
      </c>
      <c r="Q19" s="33">
        <f>MONTH(Table3[[#This Row],[Issue Date]])</f>
        <v>3</v>
      </c>
    </row>
    <row r="20" spans="1:17">
      <c r="A20" s="1">
        <v>45748</v>
      </c>
      <c r="B20" s="44"/>
      <c r="F20" s="27">
        <v>0</v>
      </c>
      <c r="G20" s="27">
        <v>0</v>
      </c>
      <c r="H20" s="27">
        <v>0</v>
      </c>
      <c r="I20" s="27">
        <v>0</v>
      </c>
      <c r="J20" s="53">
        <f>SUM(Table3[[#This Row],[Ticket (£)]:[Visa (£)]])</f>
        <v>0</v>
      </c>
      <c r="K20" s="7"/>
      <c r="L20" s="54">
        <v>0</v>
      </c>
      <c r="N20" s="52">
        <f t="shared" si="1"/>
        <v>0</v>
      </c>
      <c r="P20" s="46">
        <f t="shared" si="0"/>
        <v>0</v>
      </c>
      <c r="Q20" s="33">
        <f>MONTH(Table3[[#This Row],[Issue Date]])</f>
        <v>4</v>
      </c>
    </row>
    <row r="21" spans="1:17">
      <c r="A21" s="1">
        <v>45778</v>
      </c>
      <c r="B21" s="44"/>
      <c r="F21" s="27">
        <v>0</v>
      </c>
      <c r="G21" s="27">
        <v>0</v>
      </c>
      <c r="H21" s="27">
        <v>0</v>
      </c>
      <c r="I21" s="27">
        <v>0</v>
      </c>
      <c r="J21" s="53">
        <f>SUM(Table3[[#This Row],[Ticket (£)]:[Visa (£)]])</f>
        <v>0</v>
      </c>
      <c r="K21" s="7"/>
      <c r="L21" s="54">
        <v>0</v>
      </c>
      <c r="N21" s="52">
        <f t="shared" si="1"/>
        <v>0</v>
      </c>
      <c r="P21" s="46">
        <f t="shared" si="0"/>
        <v>0</v>
      </c>
      <c r="Q21" s="33">
        <f>MONTH(Table3[[#This Row],[Issue Date]])</f>
        <v>5</v>
      </c>
    </row>
    <row r="22" spans="1:17">
      <c r="A22" s="1">
        <v>45809</v>
      </c>
      <c r="B22" s="44"/>
      <c r="F22" s="27">
        <v>0</v>
      </c>
      <c r="G22" s="27">
        <v>0</v>
      </c>
      <c r="H22" s="27">
        <v>0</v>
      </c>
      <c r="I22" s="27">
        <v>0</v>
      </c>
      <c r="J22" s="53">
        <f>SUM(Table3[[#This Row],[Ticket (£)]:[Visa (£)]])</f>
        <v>0</v>
      </c>
      <c r="K22" s="7"/>
      <c r="L22" s="54">
        <v>0</v>
      </c>
      <c r="N22" s="52">
        <f t="shared" si="1"/>
        <v>0</v>
      </c>
      <c r="P22" s="46">
        <f t="shared" si="0"/>
        <v>0</v>
      </c>
      <c r="Q22" s="33">
        <f>MONTH(Table3[[#This Row],[Issue Date]])</f>
        <v>6</v>
      </c>
    </row>
    <row r="23" spans="1:17">
      <c r="A23" s="1">
        <v>45870</v>
      </c>
      <c r="B23" s="44"/>
      <c r="F23" s="27">
        <v>0</v>
      </c>
      <c r="G23" s="27">
        <v>0</v>
      </c>
      <c r="H23" s="27">
        <v>0</v>
      </c>
      <c r="I23" s="27">
        <v>0</v>
      </c>
      <c r="J23" s="53">
        <f>SUM(Table3[[#This Row],[Ticket (£)]:[Visa (£)]])</f>
        <v>0</v>
      </c>
      <c r="K23" s="7"/>
      <c r="L23" s="54">
        <v>0</v>
      </c>
      <c r="N23" s="52">
        <f t="shared" si="1"/>
        <v>0</v>
      </c>
      <c r="P23" s="46">
        <f t="shared" si="0"/>
        <v>0</v>
      </c>
      <c r="Q23" s="33">
        <f>MONTH(Table3[[#This Row],[Issue Date]])</f>
        <v>8</v>
      </c>
    </row>
    <row r="24" spans="1:17">
      <c r="A24" s="1">
        <v>45901</v>
      </c>
      <c r="B24" s="44"/>
      <c r="F24" s="27">
        <v>0</v>
      </c>
      <c r="G24" s="27">
        <v>0</v>
      </c>
      <c r="H24" s="27">
        <v>0</v>
      </c>
      <c r="I24" s="27">
        <v>0</v>
      </c>
      <c r="J24" s="53">
        <f>SUM(Table3[[#This Row],[Ticket (£)]:[Visa (£)]])</f>
        <v>0</v>
      </c>
      <c r="K24" s="7"/>
      <c r="L24" s="54">
        <v>0</v>
      </c>
      <c r="N24" s="52">
        <f t="shared" si="1"/>
        <v>0</v>
      </c>
      <c r="P24" s="46">
        <f t="shared" si="0"/>
        <v>0</v>
      </c>
      <c r="Q24" s="33">
        <f>MONTH(Table3[[#This Row],[Issue Date]])</f>
        <v>9</v>
      </c>
    </row>
    <row r="25" spans="1:17">
      <c r="A25" s="1">
        <v>45931</v>
      </c>
      <c r="B25" s="44"/>
      <c r="F25" s="27">
        <v>0</v>
      </c>
      <c r="G25" s="27">
        <v>0</v>
      </c>
      <c r="H25" s="27">
        <v>0</v>
      </c>
      <c r="I25" s="27">
        <v>0</v>
      </c>
      <c r="J25" s="53">
        <f>SUM(Table3[[#This Row],[Ticket (£)]:[Visa (£)]])</f>
        <v>0</v>
      </c>
      <c r="K25" s="7"/>
      <c r="L25" s="54">
        <v>0</v>
      </c>
      <c r="N25" s="52">
        <f t="shared" si="1"/>
        <v>0</v>
      </c>
      <c r="P25" s="46">
        <f t="shared" si="0"/>
        <v>0</v>
      </c>
      <c r="Q25" s="33">
        <f>MONTH(Table3[[#This Row],[Issue Date]])</f>
        <v>10</v>
      </c>
    </row>
    <row r="26" spans="1:17">
      <c r="A26" s="1">
        <v>45962</v>
      </c>
      <c r="B26" s="44"/>
      <c r="F26" s="27">
        <v>0</v>
      </c>
      <c r="G26" s="27">
        <v>0</v>
      </c>
      <c r="H26" s="27">
        <v>0</v>
      </c>
      <c r="I26" s="27">
        <v>0</v>
      </c>
      <c r="J26" s="53">
        <f>SUM(Table3[[#This Row],[Ticket (£)]:[Visa (£)]])</f>
        <v>0</v>
      </c>
      <c r="K26" s="7"/>
      <c r="L26" s="54">
        <v>0</v>
      </c>
      <c r="N26" s="52">
        <f t="shared" si="1"/>
        <v>0</v>
      </c>
      <c r="P26" s="46">
        <f t="shared" si="0"/>
        <v>0</v>
      </c>
      <c r="Q26" s="33">
        <f>MONTH(Table3[[#This Row],[Issue Date]])</f>
        <v>11</v>
      </c>
    </row>
    <row r="27" spans="1:17">
      <c r="A27" s="47">
        <v>45992</v>
      </c>
      <c r="B27" s="44" t="s">
        <v>722</v>
      </c>
      <c r="F27" s="27">
        <v>0</v>
      </c>
      <c r="G27" s="27">
        <v>0</v>
      </c>
      <c r="H27" s="27">
        <v>0</v>
      </c>
      <c r="I27" s="27">
        <v>0</v>
      </c>
      <c r="J27" s="53">
        <f>SUM(Table3[[#This Row],[Ticket (£)]:[Visa (£)]])</f>
        <v>0</v>
      </c>
      <c r="K27" s="7"/>
      <c r="L27" s="54">
        <v>0</v>
      </c>
      <c r="N27" s="52">
        <f t="shared" si="1"/>
        <v>0</v>
      </c>
      <c r="P27" s="43">
        <f t="shared" si="0"/>
        <v>0</v>
      </c>
      <c r="Q27" s="33">
        <f>MONTH(Table3[[#This Row],[Issue Date]])</f>
        <v>12</v>
      </c>
    </row>
    <row r="28" spans="1:17">
      <c r="A28" s="42"/>
      <c r="B28" s="41"/>
      <c r="C28" s="5"/>
      <c r="D28" s="49"/>
      <c r="E28" s="49"/>
      <c r="F28" s="5"/>
      <c r="G28" s="5"/>
      <c r="H28" s="5"/>
      <c r="I28" s="5"/>
      <c r="J28" s="5"/>
      <c r="K28" s="49"/>
      <c r="L28" s="5"/>
      <c r="M28" s="8"/>
      <c r="N28" s="45">
        <f>SUM(Table3[Profit])</f>
        <v>3334.7400000000002</v>
      </c>
      <c r="O28" s="5"/>
      <c r="P28" s="43">
        <f>SUM(P4:P27)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E7F6-95E2-46B6-A903-DE9C9323CB04}">
  <sheetPr>
    <tabColor rgb="FFFFC000"/>
  </sheetPr>
  <dimension ref="B1:I37"/>
  <sheetViews>
    <sheetView workbookViewId="0">
      <pane ySplit="1" topLeftCell="A2" activePane="bottomLeft" state="frozen"/>
      <selection pane="bottomLeft" activeCell="N45" sqref="N45"/>
    </sheetView>
  </sheetViews>
  <sheetFormatPr defaultRowHeight="15"/>
  <cols>
    <col min="1" max="1" width="2.42578125" customWidth="1"/>
    <col min="2" max="2" width="16.7109375" style="9" bestFit="1" customWidth="1"/>
    <col min="3" max="3" width="15.5703125" style="16" bestFit="1" customWidth="1"/>
    <col min="4" max="4" width="18.28515625" style="16" bestFit="1" customWidth="1"/>
    <col min="5" max="5" width="14.85546875" style="16" customWidth="1"/>
    <col min="6" max="7" width="14.85546875" style="12" customWidth="1"/>
    <col min="8" max="8" width="9.140625" style="7"/>
    <col min="9" max="9" width="27.85546875" customWidth="1"/>
  </cols>
  <sheetData>
    <row r="1" spans="2:9">
      <c r="B1" s="19" t="s">
        <v>1</v>
      </c>
      <c r="C1" s="23" t="s">
        <v>723</v>
      </c>
      <c r="D1" s="23" t="s">
        <v>724</v>
      </c>
      <c r="E1" s="17" t="s">
        <v>725</v>
      </c>
      <c r="F1" s="25" t="s">
        <v>726</v>
      </c>
      <c r="G1" s="28" t="s">
        <v>727</v>
      </c>
      <c r="H1" s="24" t="s">
        <v>15</v>
      </c>
    </row>
    <row r="2" spans="2:9">
      <c r="B2" s="9" t="s">
        <v>69</v>
      </c>
      <c r="C2" s="140">
        <v>772.02</v>
      </c>
      <c r="D2" s="140">
        <v>736.02</v>
      </c>
      <c r="E2" s="16">
        <f>Changes[[#This Row],[Original Fare]]-Changes[[#This Row],[New Lower Fare]]</f>
        <v>36</v>
      </c>
      <c r="F2" s="12">
        <v>45677</v>
      </c>
      <c r="G2" s="27">
        <f>Changes[[#This Row],[Difference]]*10%</f>
        <v>3.6</v>
      </c>
      <c r="H2" s="9">
        <f>MONTH(Changes[[#This Row],[Date]])</f>
        <v>1</v>
      </c>
    </row>
    <row r="3" spans="2:9">
      <c r="B3" s="9" t="s">
        <v>69</v>
      </c>
      <c r="C3" s="140">
        <v>772.02</v>
      </c>
      <c r="D3" s="120">
        <v>736.02</v>
      </c>
      <c r="E3" s="16">
        <f>Changes[[#This Row],[Original Fare]]-Changes[[#This Row],[New Lower Fare]]</f>
        <v>36</v>
      </c>
      <c r="F3" s="12">
        <v>45677</v>
      </c>
      <c r="G3" s="27">
        <f>Changes[[#This Row],[Difference]]*10%</f>
        <v>3.6</v>
      </c>
      <c r="H3" s="9">
        <f>MONTH(Changes[[#This Row],[Date]])</f>
        <v>1</v>
      </c>
    </row>
    <row r="4" spans="2:9">
      <c r="B4" s="9" t="s">
        <v>170</v>
      </c>
      <c r="C4" s="120">
        <v>934.92</v>
      </c>
      <c r="D4" s="120">
        <v>893.42</v>
      </c>
      <c r="E4" s="16">
        <f>Changes[[#This Row],[Original Fare]]-Changes[[#This Row],[New Lower Fare]]</f>
        <v>41.5</v>
      </c>
      <c r="F4" s="12">
        <v>45747</v>
      </c>
      <c r="G4" s="27">
        <f>Changes[[#This Row],[Difference]]*10%</f>
        <v>4.1500000000000004</v>
      </c>
      <c r="H4" s="9">
        <f>MONTH(Changes[[#This Row],[Date]])</f>
        <v>3</v>
      </c>
    </row>
    <row r="5" spans="2:9">
      <c r="B5" s="9" t="s">
        <v>193</v>
      </c>
      <c r="C5" s="120">
        <v>643.22</v>
      </c>
      <c r="D5" s="120">
        <v>587.82000000000005</v>
      </c>
      <c r="E5" s="16">
        <f>Changes[[#This Row],[Original Fare]]-Changes[[#This Row],[New Lower Fare]]</f>
        <v>55.399999999999977</v>
      </c>
      <c r="F5" s="12">
        <v>45756</v>
      </c>
      <c r="G5" s="27">
        <f>Changes[[#This Row],[Difference]]*10%</f>
        <v>5.5399999999999983</v>
      </c>
      <c r="H5" s="9">
        <f>MONTH(Changes[[#This Row],[Date]])</f>
        <v>4</v>
      </c>
    </row>
    <row r="6" spans="2:9">
      <c r="B6" s="9" t="s">
        <v>269</v>
      </c>
      <c r="C6" s="120">
        <v>1112.52</v>
      </c>
      <c r="D6" s="120">
        <v>1042.52</v>
      </c>
      <c r="E6" s="16">
        <f>Changes[[#This Row],[Original Fare]]-Changes[[#This Row],[New Lower Fare]]</f>
        <v>70</v>
      </c>
      <c r="F6" s="12">
        <v>45800</v>
      </c>
      <c r="G6" s="27">
        <f>Changes[[#This Row],[Difference]]*10%</f>
        <v>7</v>
      </c>
      <c r="H6" s="9">
        <f>MONTH(Changes[[#This Row],[Date]])</f>
        <v>5</v>
      </c>
    </row>
    <row r="7" spans="2:9">
      <c r="B7" s="9" t="s">
        <v>330</v>
      </c>
      <c r="C7" s="16">
        <v>1238.82</v>
      </c>
      <c r="D7" s="16">
        <v>1192.52</v>
      </c>
      <c r="E7" s="16">
        <f>Changes[[#This Row],[Original Fare]]-Changes[[#This Row],[New Lower Fare]]</f>
        <v>46.299999999999955</v>
      </c>
      <c r="F7" s="12">
        <v>45854</v>
      </c>
      <c r="G7" s="27">
        <f>Changes[[#This Row],[Difference]]*50%</f>
        <v>23.149999999999977</v>
      </c>
      <c r="H7" s="9">
        <f>MONTH(Changes[[#This Row],[Date]])</f>
        <v>7</v>
      </c>
      <c r="I7" t="s">
        <v>728</v>
      </c>
    </row>
    <row r="8" spans="2:9">
      <c r="B8" s="9" t="s">
        <v>361</v>
      </c>
      <c r="C8" s="16">
        <v>1147.42</v>
      </c>
      <c r="D8" s="16">
        <v>1100.42</v>
      </c>
      <c r="E8" s="16">
        <f>Changes[[#This Row],[Original Fare]]-Changes[[#This Row],[New Lower Fare]]</f>
        <v>47</v>
      </c>
      <c r="F8" s="12">
        <v>45876</v>
      </c>
      <c r="G8" s="27">
        <f>Changes[[#This Row],[Difference]]*50%</f>
        <v>23.5</v>
      </c>
      <c r="H8" s="9">
        <f>MONTH(Changes[[#This Row],[Date]])</f>
        <v>8</v>
      </c>
    </row>
    <row r="9" spans="2:9">
      <c r="B9" s="9" t="s">
        <v>361</v>
      </c>
      <c r="C9" s="16">
        <v>1147.42</v>
      </c>
      <c r="D9" s="16">
        <v>1100.42</v>
      </c>
      <c r="E9" s="16">
        <f>Changes[[#This Row],[Original Fare]]-Changes[[#This Row],[New Lower Fare]]</f>
        <v>47</v>
      </c>
      <c r="F9" s="12">
        <v>45876</v>
      </c>
      <c r="G9" s="27">
        <f>Changes[[#This Row],[Difference]]*50%</f>
        <v>23.5</v>
      </c>
      <c r="H9" s="9">
        <f>MONTH(Changes[[#This Row],[Date]])</f>
        <v>8</v>
      </c>
    </row>
    <row r="10" spans="2:9">
      <c r="B10" s="9" t="s">
        <v>361</v>
      </c>
      <c r="C10" s="16">
        <v>1147.42</v>
      </c>
      <c r="D10" s="16">
        <v>1100.42</v>
      </c>
      <c r="E10" s="16">
        <f>Changes[[#This Row],[Original Fare]]-Changes[[#This Row],[New Lower Fare]]</f>
        <v>47</v>
      </c>
      <c r="F10" s="12">
        <v>45876</v>
      </c>
      <c r="G10" s="27">
        <f>Changes[[#This Row],[Difference]]*50%</f>
        <v>23.5</v>
      </c>
      <c r="H10" s="9">
        <f>MONTH(Changes[[#This Row],[Date]])</f>
        <v>8</v>
      </c>
    </row>
    <row r="11" spans="2:9">
      <c r="B11" s="9" t="s">
        <v>729</v>
      </c>
      <c r="C11" s="172">
        <v>703.88</v>
      </c>
      <c r="D11" s="16">
        <v>583.88</v>
      </c>
      <c r="E11" s="16">
        <f>Changes[[#This Row],[Original Fare]]-Changes[[#This Row],[New Lower Fare]]</f>
        <v>120</v>
      </c>
      <c r="F11" s="12">
        <v>45897</v>
      </c>
      <c r="G11" s="27">
        <f>Changes[[#This Row],[Difference]]*50%</f>
        <v>60</v>
      </c>
      <c r="H11" s="9">
        <f>MONTH(Changes[[#This Row],[Date]])</f>
        <v>8</v>
      </c>
    </row>
    <row r="12" spans="2:9">
      <c r="B12" s="9" t="s">
        <v>439</v>
      </c>
      <c r="C12" s="16">
        <v>609.62</v>
      </c>
      <c r="D12" s="16">
        <v>547.22</v>
      </c>
      <c r="E12" s="16">
        <f>Changes[[#This Row],[Original Fare]]-Changes[[#This Row],[New Lower Fare]]</f>
        <v>62.399999999999977</v>
      </c>
      <c r="F12" s="12">
        <v>45908</v>
      </c>
      <c r="G12" s="27">
        <f>Changes[[#This Row],[Difference]]*50%</f>
        <v>31.199999999999989</v>
      </c>
      <c r="H12" s="9">
        <f>MONTH(Changes[[#This Row],[Date]])</f>
        <v>9</v>
      </c>
    </row>
    <row r="13" spans="2:9">
      <c r="B13" s="9" t="s">
        <v>441</v>
      </c>
      <c r="C13" s="16">
        <v>559.22</v>
      </c>
      <c r="D13" s="16">
        <v>477.22</v>
      </c>
      <c r="E13" s="16">
        <f>Changes[[#This Row],[Original Fare]]-Changes[[#This Row],[New Lower Fare]]</f>
        <v>82</v>
      </c>
      <c r="F13" s="12">
        <v>45908</v>
      </c>
      <c r="G13" s="27">
        <f>Changes[[#This Row],[Difference]]*50%</f>
        <v>41</v>
      </c>
      <c r="H13" s="9">
        <f>MONTH(Changes[[#This Row],[Date]])</f>
        <v>9</v>
      </c>
    </row>
    <row r="14" spans="2:9">
      <c r="B14" s="9" t="s">
        <v>441</v>
      </c>
      <c r="C14" s="16">
        <v>559.22</v>
      </c>
      <c r="D14" s="16">
        <v>477.22</v>
      </c>
      <c r="E14" s="16">
        <f>Changes[[#This Row],[Original Fare]]-Changes[[#This Row],[New Lower Fare]]</f>
        <v>82</v>
      </c>
      <c r="F14" s="12">
        <v>45908</v>
      </c>
      <c r="G14" s="27">
        <f>Changes[[#This Row],[Difference]]*50%</f>
        <v>41</v>
      </c>
      <c r="H14" s="9">
        <f>MONTH(Changes[[#This Row],[Date]])</f>
        <v>9</v>
      </c>
    </row>
    <row r="15" spans="2:9">
      <c r="B15" s="9" t="s">
        <v>446</v>
      </c>
      <c r="C15" s="16">
        <v>585.32000000000005</v>
      </c>
      <c r="D15" s="16">
        <v>524.91999999999996</v>
      </c>
      <c r="E15" s="16">
        <f>Changes[[#This Row],[Original Fare]]-Changes[[#This Row],[New Lower Fare]]</f>
        <v>60.400000000000091</v>
      </c>
      <c r="F15" s="12">
        <v>45913</v>
      </c>
      <c r="G15" s="27">
        <f>Changes[[#This Row],[Difference]]*50%</f>
        <v>30.200000000000045</v>
      </c>
      <c r="H15" s="9">
        <f>MONTH(Changes[[#This Row],[Date]])</f>
        <v>9</v>
      </c>
    </row>
    <row r="16" spans="2:9">
      <c r="B16" s="9" t="s">
        <v>480</v>
      </c>
      <c r="C16" s="16">
        <v>1383.08</v>
      </c>
      <c r="D16" s="16">
        <v>1154.08</v>
      </c>
      <c r="E16" s="16">
        <f>Changes[[#This Row],[Original Fare]]-Changes[[#This Row],[New Lower Fare]]</f>
        <v>229</v>
      </c>
      <c r="F16" s="12">
        <v>45933</v>
      </c>
      <c r="G16" s="27">
        <f>Changes[[#This Row],[Difference]]*50%</f>
        <v>114.5</v>
      </c>
      <c r="H16" s="9">
        <f>MONTH(Changes[[#This Row],[Date]])</f>
        <v>10</v>
      </c>
    </row>
    <row r="17" spans="2:8">
      <c r="B17" s="9" t="s">
        <v>370</v>
      </c>
      <c r="C17" s="16">
        <v>668</v>
      </c>
      <c r="D17" s="16">
        <v>548</v>
      </c>
      <c r="E17" s="16">
        <f>Changes[[#This Row],[Original Fare]]-Changes[[#This Row],[New Lower Fare]]</f>
        <v>120</v>
      </c>
      <c r="F17" s="12">
        <v>45957</v>
      </c>
      <c r="G17" s="27">
        <f>Changes[[#This Row],[Difference]]*50%</f>
        <v>60</v>
      </c>
      <c r="H17" s="9">
        <f>MONTH(Changes[[#This Row],[Date]])</f>
        <v>10</v>
      </c>
    </row>
    <row r="18" spans="2:8">
      <c r="B18" s="9" t="s">
        <v>524</v>
      </c>
      <c r="C18" s="16">
        <v>650.02</v>
      </c>
      <c r="D18" s="16">
        <v>630.12</v>
      </c>
      <c r="E18" s="16">
        <f>Changes[[#This Row],[Original Fare]]-Changes[[#This Row],[New Lower Fare]]</f>
        <v>19.899999999999977</v>
      </c>
      <c r="F18" s="12">
        <v>45957</v>
      </c>
      <c r="G18" s="27">
        <f>Changes[[#This Row],[Difference]]*50%</f>
        <v>9.9499999999999886</v>
      </c>
      <c r="H18" s="9">
        <f>MONTH(Changes[[#This Row],[Date]])</f>
        <v>10</v>
      </c>
    </row>
    <row r="19" spans="2:8">
      <c r="B19" s="9" t="s">
        <v>524</v>
      </c>
      <c r="C19" s="16">
        <v>650.02</v>
      </c>
      <c r="D19" s="16">
        <v>630.12</v>
      </c>
      <c r="E19" s="16">
        <f>Changes[[#This Row],[Original Fare]]-Changes[[#This Row],[New Lower Fare]]</f>
        <v>19.899999999999977</v>
      </c>
      <c r="F19" s="12">
        <v>45957</v>
      </c>
      <c r="G19" s="27">
        <f>Changes[[#This Row],[Difference]]*50%</f>
        <v>9.9499999999999886</v>
      </c>
      <c r="H19" s="9">
        <f>MONTH(Changes[[#This Row],[Date]])</f>
        <v>10</v>
      </c>
    </row>
    <row r="20" spans="2:8">
      <c r="B20" s="9" t="s">
        <v>524</v>
      </c>
      <c r="C20" s="16">
        <v>548.02</v>
      </c>
      <c r="D20" s="16">
        <v>528.12</v>
      </c>
      <c r="E20" s="16">
        <f>Changes[[#This Row],[Original Fare]]-Changes[[#This Row],[New Lower Fare]]</f>
        <v>19.899999999999977</v>
      </c>
      <c r="F20" s="12">
        <v>45957</v>
      </c>
      <c r="G20" s="27">
        <f>Changes[[#This Row],[Difference]]*50%</f>
        <v>9.9499999999999886</v>
      </c>
      <c r="H20" s="9">
        <f>MONTH(Changes[[#This Row],[Date]])</f>
        <v>10</v>
      </c>
    </row>
    <row r="21" spans="2:8">
      <c r="B21" s="9" t="s">
        <v>524</v>
      </c>
      <c r="C21" s="16">
        <v>485.02</v>
      </c>
      <c r="D21" s="16">
        <v>470.12</v>
      </c>
      <c r="E21" s="16">
        <f>Changes[[#This Row],[Original Fare]]-Changes[[#This Row],[New Lower Fare]]</f>
        <v>14.899999999999977</v>
      </c>
      <c r="F21" s="12">
        <v>45957</v>
      </c>
      <c r="G21" s="27">
        <f>Changes[[#This Row],[Difference]]*50%</f>
        <v>7.4499999999999886</v>
      </c>
      <c r="H21" s="9">
        <f>MONTH(Changes[[#This Row],[Date]])</f>
        <v>10</v>
      </c>
    </row>
    <row r="22" spans="2:8">
      <c r="B22" s="9" t="s">
        <v>524</v>
      </c>
      <c r="C22" s="16">
        <v>485.02</v>
      </c>
      <c r="D22" s="16">
        <v>470.12</v>
      </c>
      <c r="E22" s="16">
        <f>Changes[[#This Row],[Original Fare]]-Changes[[#This Row],[New Lower Fare]]</f>
        <v>14.899999999999977</v>
      </c>
      <c r="F22" s="12">
        <v>45957</v>
      </c>
      <c r="G22" s="27">
        <f>Changes[[#This Row],[Difference]]*50%</f>
        <v>7.4499999999999886</v>
      </c>
      <c r="H22" s="9">
        <f>MONTH(Changes[[#This Row],[Date]])</f>
        <v>10</v>
      </c>
    </row>
    <row r="23" spans="2:8">
      <c r="B23" s="9" t="s">
        <v>524</v>
      </c>
      <c r="C23" s="16">
        <v>485.02</v>
      </c>
      <c r="D23" s="16">
        <v>470.12</v>
      </c>
      <c r="E23" s="16">
        <f>Changes[[#This Row],[Original Fare]]-Changes[[#This Row],[New Lower Fare]]</f>
        <v>14.899999999999977</v>
      </c>
      <c r="F23" s="12">
        <v>45957</v>
      </c>
      <c r="G23" s="27">
        <f>Changes[[#This Row],[Difference]]*50%</f>
        <v>7.4499999999999886</v>
      </c>
      <c r="H23" s="9">
        <f>MONTH(Changes[[#This Row],[Date]])</f>
        <v>10</v>
      </c>
    </row>
    <row r="24" spans="2:8">
      <c r="B24" s="9" t="s">
        <v>524</v>
      </c>
      <c r="C24" s="16">
        <v>485.02</v>
      </c>
      <c r="D24" s="16">
        <v>470.12</v>
      </c>
      <c r="E24" s="16">
        <f>Changes[[#This Row],[Original Fare]]-Changes[[#This Row],[New Lower Fare]]</f>
        <v>14.899999999999977</v>
      </c>
      <c r="F24" s="12">
        <v>45957</v>
      </c>
      <c r="G24" s="27">
        <f>Changes[[#This Row],[Difference]]*50%</f>
        <v>7.4499999999999886</v>
      </c>
      <c r="H24" s="9">
        <f>MONTH(Changes[[#This Row],[Date]])</f>
        <v>10</v>
      </c>
    </row>
    <row r="25" spans="2:8">
      <c r="B25" s="9" t="s">
        <v>545</v>
      </c>
      <c r="C25" s="16">
        <v>960.62</v>
      </c>
      <c r="D25" s="16">
        <v>945.12</v>
      </c>
      <c r="E25" s="16">
        <f>Changes[[#This Row],[Original Fare]]-Changes[[#This Row],[New Lower Fare]]</f>
        <v>15.5</v>
      </c>
      <c r="F25" s="12">
        <v>45967</v>
      </c>
      <c r="G25" s="27">
        <f>Changes[[#This Row],[Difference]]*50%</f>
        <v>7.75</v>
      </c>
      <c r="H25" s="9">
        <f>MONTH(Changes[[#This Row],[Date]])</f>
        <v>11</v>
      </c>
    </row>
    <row r="26" spans="2:8">
      <c r="B26" s="9" t="s">
        <v>554</v>
      </c>
      <c r="C26" s="16">
        <v>1300.77</v>
      </c>
      <c r="D26" s="16">
        <v>1218.3699999999999</v>
      </c>
      <c r="E26" s="16">
        <f>Changes[[#This Row],[Original Fare]]-Changes[[#This Row],[New Lower Fare]]</f>
        <v>82.400000000000091</v>
      </c>
      <c r="F26" s="12">
        <v>45973</v>
      </c>
      <c r="G26" s="27">
        <f>Changes[[#This Row],[Difference]]*50%</f>
        <v>41.200000000000045</v>
      </c>
    </row>
    <row r="27" spans="2:8">
      <c r="B27" s="9" t="s">
        <v>554</v>
      </c>
      <c r="C27" s="16">
        <v>1300.77</v>
      </c>
      <c r="D27" s="16">
        <v>1218.3699999999999</v>
      </c>
      <c r="E27" s="16">
        <f>Changes[[#This Row],[Original Fare]]-Changes[[#This Row],[New Lower Fare]]</f>
        <v>82.400000000000091</v>
      </c>
      <c r="F27" s="12">
        <v>45973</v>
      </c>
      <c r="G27" s="27">
        <f>Changes[[#This Row],[Difference]]*50%</f>
        <v>41.200000000000045</v>
      </c>
    </row>
    <row r="28" spans="2:8">
      <c r="B28" s="9" t="s">
        <v>554</v>
      </c>
      <c r="C28" s="16">
        <v>1300.77</v>
      </c>
      <c r="D28" s="16">
        <v>1218.3699999999999</v>
      </c>
      <c r="E28" s="16">
        <f>Changes[[#This Row],[Original Fare]]-Changes[[#This Row],[New Lower Fare]]</f>
        <v>82.400000000000091</v>
      </c>
      <c r="F28" s="12">
        <v>45973</v>
      </c>
      <c r="G28" s="27">
        <f>Changes[[#This Row],[Difference]]*50%</f>
        <v>41.200000000000045</v>
      </c>
    </row>
    <row r="29" spans="2:8">
      <c r="B29" s="9" t="s">
        <v>554</v>
      </c>
      <c r="C29" s="16">
        <v>1300.77</v>
      </c>
      <c r="D29" s="16">
        <v>1218.3699999999999</v>
      </c>
      <c r="E29" s="16">
        <f>Changes[[#This Row],[Original Fare]]-Changes[[#This Row],[New Lower Fare]]</f>
        <v>82.400000000000091</v>
      </c>
      <c r="F29" s="12">
        <v>45973</v>
      </c>
      <c r="G29" s="27">
        <f>Changes[[#This Row],[Difference]]*50%</f>
        <v>41.200000000000045</v>
      </c>
    </row>
    <row r="30" spans="2:8">
      <c r="B30" s="9" t="s">
        <v>559</v>
      </c>
      <c r="C30" s="16">
        <v>1573.77</v>
      </c>
      <c r="D30" s="16">
        <v>1289.78</v>
      </c>
      <c r="E30" s="16">
        <f>Changes[[#This Row],[Original Fare]]-Changes[[#This Row],[New Lower Fare]]</f>
        <v>283.99</v>
      </c>
      <c r="F30" s="12">
        <v>45975</v>
      </c>
      <c r="G30" s="27">
        <f>Changes[[#This Row],[Difference]]*50%</f>
        <v>141.995</v>
      </c>
    </row>
    <row r="31" spans="2:8">
      <c r="E31" s="16">
        <f>Changes[[#This Row],[Original Fare]]-Changes[[#This Row],[New Lower Fare]]</f>
        <v>0</v>
      </c>
      <c r="G31" s="27">
        <f>Changes[[#This Row],[Difference]]*50%</f>
        <v>0</v>
      </c>
    </row>
    <row r="32" spans="2:8">
      <c r="E32" s="16">
        <f>Changes[[#This Row],[Original Fare]]-Changes[[#This Row],[New Lower Fare]]</f>
        <v>0</v>
      </c>
      <c r="F32" s="12">
        <v>45689</v>
      </c>
      <c r="G32" s="27">
        <f>Changes[[#This Row],[Difference]]*50%</f>
        <v>0</v>
      </c>
      <c r="H32" s="9">
        <f>MONTH(Changes[[#This Row],[Date]])</f>
        <v>2</v>
      </c>
    </row>
    <row r="33" spans="2:8">
      <c r="F33" s="12">
        <v>45809</v>
      </c>
      <c r="G33" s="27">
        <f>Changes[[#This Row],[Difference]]*50%</f>
        <v>0</v>
      </c>
      <c r="H33" s="9">
        <f>MONTH(Changes[[#This Row],[Date]])</f>
        <v>6</v>
      </c>
    </row>
    <row r="34" spans="2:8">
      <c r="E34" s="16">
        <f>Changes[[#This Row],[Original Fare]]-Changes[[#This Row],[New Lower Fare]]</f>
        <v>0</v>
      </c>
      <c r="F34" s="12">
        <v>45962</v>
      </c>
      <c r="G34" s="27">
        <f>Changes[[#This Row],[Difference]]*50%</f>
        <v>0</v>
      </c>
      <c r="H34" s="9">
        <f>MONTH(Changes[[#This Row],[Date]])</f>
        <v>11</v>
      </c>
    </row>
    <row r="35" spans="2:8">
      <c r="E35" s="16">
        <f>Changes[[#This Row],[Original Fare]]-Changes[[#This Row],[New Lower Fare]]</f>
        <v>0</v>
      </c>
      <c r="F35" s="12">
        <v>45992</v>
      </c>
      <c r="G35" s="27">
        <f>Changes[[#This Row],[Difference]]*50%</f>
        <v>0</v>
      </c>
      <c r="H35" s="9">
        <f>MONTH(Changes[[#This Row],[Date]])</f>
        <v>12</v>
      </c>
    </row>
    <row r="36" spans="2:8">
      <c r="B36" s="22" t="s">
        <v>730</v>
      </c>
      <c r="C36" s="18"/>
      <c r="D36" s="18" t="s">
        <v>731</v>
      </c>
      <c r="E36" s="21">
        <f>SUM(E2:E35)</f>
        <v>1930.390000000001</v>
      </c>
      <c r="F36" s="26"/>
      <c r="G36" s="31">
        <f>Changes[[#This Row],[Difference]]*10%</f>
        <v>193.0390000000001</v>
      </c>
      <c r="H36" s="20">
        <v>0.1</v>
      </c>
    </row>
    <row r="37" spans="2:8">
      <c r="B37" s="230"/>
      <c r="C37" s="230"/>
      <c r="D37" s="230"/>
    </row>
  </sheetData>
  <mergeCells count="1">
    <mergeCell ref="B37:D37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B84-2D16-462C-85BF-02C48E3E3121}">
  <sheetPr>
    <tabColor rgb="FF00B0F0"/>
  </sheetPr>
  <dimension ref="A1"/>
  <sheetViews>
    <sheetView workbookViewId="0">
      <selection activeCell="A18" sqref="A18"/>
    </sheetView>
  </sheetViews>
  <sheetFormatPr defaultRowHeight="15"/>
  <cols>
    <col min="2" max="2" width="11.42578125" bestFit="1" customWidth="1"/>
    <col min="3" max="3" width="8.42578125" bestFit="1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853C-D63F-436E-AA31-0D8876A6D683}">
  <sheetPr>
    <tabColor theme="1"/>
  </sheetPr>
  <dimension ref="B1:N32"/>
  <sheetViews>
    <sheetView topLeftCell="C1" workbookViewId="0">
      <selection activeCell="N28" sqref="N28"/>
    </sheetView>
  </sheetViews>
  <sheetFormatPr defaultRowHeight="15"/>
  <cols>
    <col min="1" max="1" width="5.5703125" customWidth="1"/>
    <col min="2" max="2" width="11.42578125" bestFit="1" customWidth="1"/>
    <col min="3" max="3" width="11.85546875" bestFit="1" customWidth="1"/>
    <col min="4" max="4" width="5.42578125" customWidth="1"/>
    <col min="5" max="5" width="11.42578125" bestFit="1" customWidth="1"/>
    <col min="6" max="6" width="12.5703125" bestFit="1" customWidth="1"/>
    <col min="7" max="7" width="16.28515625" customWidth="1"/>
    <col min="8" max="8" width="11.42578125" bestFit="1" customWidth="1"/>
    <col min="9" max="9" width="15.85546875" bestFit="1" customWidth="1"/>
    <col min="10" max="10" width="19.42578125" bestFit="1" customWidth="1"/>
    <col min="11" max="11" width="19.28515625" bestFit="1" customWidth="1"/>
    <col min="12" max="12" width="4.85546875" customWidth="1"/>
    <col min="13" max="15" width="11.42578125" bestFit="1" customWidth="1"/>
  </cols>
  <sheetData>
    <row r="1" spans="2:14">
      <c r="H1" t="s">
        <v>732</v>
      </c>
      <c r="M1" t="s">
        <v>733</v>
      </c>
    </row>
    <row r="2" spans="2:14">
      <c r="B2" t="s">
        <v>15</v>
      </c>
      <c r="C2" t="s">
        <v>734</v>
      </c>
      <c r="E2" s="6" t="s">
        <v>15</v>
      </c>
      <c r="F2" t="s">
        <v>735</v>
      </c>
      <c r="H2" s="6" t="s">
        <v>15</v>
      </c>
      <c r="I2" t="s">
        <v>736</v>
      </c>
      <c r="J2" s="11" t="s">
        <v>737</v>
      </c>
      <c r="K2" s="11" t="s">
        <v>738</v>
      </c>
      <c r="M2" s="6" t="s">
        <v>15</v>
      </c>
      <c r="N2" t="s">
        <v>739</v>
      </c>
    </row>
    <row r="3" spans="2:14">
      <c r="B3" t="s">
        <v>740</v>
      </c>
      <c r="C3">
        <f>COUNTIF(Ledger!Q2:Q345,"=1")</f>
        <v>21</v>
      </c>
      <c r="E3">
        <v>1</v>
      </c>
      <c r="F3" s="231">
        <v>2571.4899999999989</v>
      </c>
      <c r="H3">
        <v>1</v>
      </c>
      <c r="I3" s="231">
        <v>27</v>
      </c>
      <c r="J3" s="9">
        <f>I3*5</f>
        <v>135</v>
      </c>
      <c r="K3" s="9" t="s">
        <v>715</v>
      </c>
      <c r="M3">
        <v>1</v>
      </c>
      <c r="N3" s="29">
        <v>7.2</v>
      </c>
    </row>
    <row r="4" spans="2:14">
      <c r="B4" t="s">
        <v>741</v>
      </c>
      <c r="C4">
        <f>COUNTIF(Ledger!Q2:Q345,"=2")</f>
        <v>17</v>
      </c>
      <c r="E4">
        <v>2</v>
      </c>
      <c r="F4" s="231">
        <v>-633.0999999999998</v>
      </c>
      <c r="H4">
        <v>2</v>
      </c>
      <c r="I4" s="231">
        <v>20</v>
      </c>
      <c r="J4" s="9">
        <f t="shared" ref="J4:J7" si="0">I4*5</f>
        <v>100</v>
      </c>
      <c r="K4" s="9" t="s">
        <v>715</v>
      </c>
      <c r="M4">
        <v>2</v>
      </c>
      <c r="N4" s="29">
        <v>0</v>
      </c>
    </row>
    <row r="5" spans="2:14">
      <c r="B5" t="s">
        <v>742</v>
      </c>
      <c r="C5">
        <f>COUNTIF(Ledger!Q2:Q345,"=3")</f>
        <v>16</v>
      </c>
      <c r="E5">
        <v>3</v>
      </c>
      <c r="F5" s="231">
        <v>2129.9500000000007</v>
      </c>
      <c r="H5">
        <v>3</v>
      </c>
      <c r="I5" s="231">
        <v>21</v>
      </c>
      <c r="J5" s="9">
        <f t="shared" si="0"/>
        <v>105</v>
      </c>
      <c r="K5" s="9" t="s">
        <v>715</v>
      </c>
      <c r="M5">
        <v>3</v>
      </c>
      <c r="N5" s="29">
        <v>4.1500000000000004</v>
      </c>
    </row>
    <row r="6" spans="2:14">
      <c r="B6" t="s">
        <v>743</v>
      </c>
      <c r="C6">
        <f>COUNTIF(Ledger!Q2:Q345,"=4")</f>
        <v>28</v>
      </c>
      <c r="E6">
        <v>4</v>
      </c>
      <c r="F6" s="231">
        <v>3197.08</v>
      </c>
      <c r="H6">
        <v>4</v>
      </c>
      <c r="I6" s="231">
        <v>23</v>
      </c>
      <c r="J6" s="9">
        <f t="shared" si="0"/>
        <v>115</v>
      </c>
      <c r="K6" s="9" t="s">
        <v>715</v>
      </c>
      <c r="M6">
        <v>4</v>
      </c>
      <c r="N6" s="29">
        <v>5.5399999999999983</v>
      </c>
    </row>
    <row r="7" spans="2:14">
      <c r="B7" t="s">
        <v>744</v>
      </c>
      <c r="C7">
        <f>COUNTIF(Ledger!Q2:Q345,"=5")</f>
        <v>17</v>
      </c>
      <c r="E7">
        <v>5</v>
      </c>
      <c r="F7" s="231">
        <v>-103.86000000000016</v>
      </c>
      <c r="H7">
        <v>5</v>
      </c>
      <c r="I7" s="231">
        <v>15</v>
      </c>
      <c r="J7" s="9">
        <f t="shared" si="0"/>
        <v>75</v>
      </c>
      <c r="K7" s="9" t="s">
        <v>715</v>
      </c>
      <c r="M7">
        <v>5</v>
      </c>
      <c r="N7" s="29">
        <v>7</v>
      </c>
    </row>
    <row r="8" spans="2:14">
      <c r="B8" t="s">
        <v>745</v>
      </c>
      <c r="C8">
        <f>COUNTIF(Ledger!Q2:Q345,"=6")</f>
        <v>24</v>
      </c>
      <c r="E8">
        <v>6</v>
      </c>
      <c r="F8" s="231">
        <v>1716.8300000000004</v>
      </c>
      <c r="H8">
        <v>6</v>
      </c>
      <c r="I8" s="231">
        <v>40</v>
      </c>
      <c r="J8" s="9">
        <f>MIN(I8,30)*5</f>
        <v>150</v>
      </c>
      <c r="K8" s="9">
        <f>MAX(I8-30,0)*10</f>
        <v>100</v>
      </c>
      <c r="M8">
        <v>6</v>
      </c>
      <c r="N8" s="29">
        <v>0</v>
      </c>
    </row>
    <row r="9" spans="2:14">
      <c r="B9" t="s">
        <v>746</v>
      </c>
      <c r="C9">
        <f>COUNTIF(Ledger!Q2:Q345,"=7")</f>
        <v>20</v>
      </c>
      <c r="E9">
        <v>7</v>
      </c>
      <c r="F9" s="231">
        <v>404.62000000000046</v>
      </c>
      <c r="H9">
        <v>7</v>
      </c>
      <c r="I9" s="231">
        <v>30</v>
      </c>
      <c r="J9" s="9">
        <f t="shared" ref="J9:J14" si="1">MIN(I9,30)*5</f>
        <v>150</v>
      </c>
      <c r="K9" s="9">
        <f t="shared" ref="K8:K14" si="2">MAX(I9-30,0)*10</f>
        <v>0</v>
      </c>
      <c r="M9">
        <v>7</v>
      </c>
      <c r="N9" s="29">
        <v>23.149999999999977</v>
      </c>
    </row>
    <row r="10" spans="2:14">
      <c r="B10" t="s">
        <v>747</v>
      </c>
      <c r="C10">
        <f>COUNTIF(Ledger!Q2:Q345,"=8")</f>
        <v>27</v>
      </c>
      <c r="E10">
        <v>8</v>
      </c>
      <c r="F10" s="231">
        <v>-781.00000000000011</v>
      </c>
      <c r="H10">
        <v>8</v>
      </c>
      <c r="I10" s="231">
        <v>44</v>
      </c>
      <c r="J10" s="9">
        <f t="shared" si="1"/>
        <v>150</v>
      </c>
      <c r="K10" s="9">
        <f t="shared" si="2"/>
        <v>140</v>
      </c>
      <c r="M10">
        <v>8</v>
      </c>
      <c r="N10" s="29">
        <v>130.5</v>
      </c>
    </row>
    <row r="11" spans="2:14">
      <c r="B11" t="s">
        <v>748</v>
      </c>
      <c r="C11">
        <f>COUNTIF(Ledger!Q2:Q345,"=9")</f>
        <v>28</v>
      </c>
      <c r="E11">
        <v>9</v>
      </c>
      <c r="F11" s="231">
        <v>2021.92</v>
      </c>
      <c r="H11">
        <v>9</v>
      </c>
      <c r="I11" s="231">
        <v>28</v>
      </c>
      <c r="J11" s="9">
        <f t="shared" si="1"/>
        <v>140</v>
      </c>
      <c r="K11" s="9">
        <f t="shared" si="2"/>
        <v>0</v>
      </c>
      <c r="M11">
        <v>9</v>
      </c>
      <c r="N11" s="29">
        <v>143.40000000000003</v>
      </c>
    </row>
    <row r="12" spans="2:14">
      <c r="B12" t="s">
        <v>749</v>
      </c>
      <c r="C12">
        <f>COUNTIF(Ledger!Q2:Q345,"=10")</f>
        <v>41</v>
      </c>
      <c r="E12">
        <v>10</v>
      </c>
      <c r="F12" s="231">
        <v>6450.880000000001</v>
      </c>
      <c r="H12">
        <v>10</v>
      </c>
      <c r="I12" s="231">
        <v>48</v>
      </c>
      <c r="J12" s="9">
        <f t="shared" si="1"/>
        <v>150</v>
      </c>
      <c r="K12" s="9">
        <f t="shared" si="2"/>
        <v>180</v>
      </c>
      <c r="M12">
        <v>10</v>
      </c>
      <c r="N12" s="29">
        <v>234.14999999999992</v>
      </c>
    </row>
    <row r="13" spans="2:14">
      <c r="B13" t="s">
        <v>750</v>
      </c>
      <c r="C13">
        <f>COUNTIF(Ledger!Q2:Q345,"=11")</f>
        <v>7</v>
      </c>
      <c r="E13">
        <v>11</v>
      </c>
      <c r="F13" s="231">
        <v>413.52</v>
      </c>
      <c r="H13">
        <v>11</v>
      </c>
      <c r="I13" s="231">
        <v>10</v>
      </c>
      <c r="J13" s="9">
        <f t="shared" si="1"/>
        <v>50</v>
      </c>
      <c r="K13" s="9">
        <f t="shared" si="2"/>
        <v>0</v>
      </c>
      <c r="M13">
        <v>11</v>
      </c>
      <c r="N13" s="29">
        <v>0</v>
      </c>
    </row>
    <row r="14" spans="2:14">
      <c r="B14" t="s">
        <v>751</v>
      </c>
      <c r="C14">
        <f>COUNTIF(Ledger!Q2:Q345,"=12")</f>
        <v>1</v>
      </c>
      <c r="E14">
        <v>12</v>
      </c>
      <c r="F14" s="231">
        <v>0</v>
      </c>
      <c r="H14">
        <v>12</v>
      </c>
      <c r="I14" s="231">
        <v>0</v>
      </c>
      <c r="J14" s="9">
        <f t="shared" si="1"/>
        <v>0</v>
      </c>
      <c r="K14" s="9">
        <f t="shared" si="2"/>
        <v>0</v>
      </c>
      <c r="M14">
        <v>12</v>
      </c>
      <c r="N14" s="29">
        <v>0</v>
      </c>
    </row>
    <row r="15" spans="2:14">
      <c r="E15" t="s">
        <v>752</v>
      </c>
      <c r="F15" s="231">
        <v>17388.330000000002</v>
      </c>
      <c r="H15" t="s">
        <v>752</v>
      </c>
      <c r="I15" s="231">
        <v>306</v>
      </c>
      <c r="J15" s="10">
        <f>SUM(J3:J14)</f>
        <v>1320</v>
      </c>
      <c r="K15" s="10">
        <f>SUM(K3:K14)</f>
        <v>420</v>
      </c>
      <c r="M15" t="s">
        <v>752</v>
      </c>
      <c r="N15" s="29">
        <v>555.08999999999992</v>
      </c>
    </row>
    <row r="16" spans="2:14">
      <c r="N16" s="29"/>
    </row>
    <row r="17" spans="2:14">
      <c r="N17" s="29"/>
    </row>
    <row r="18" spans="2:14">
      <c r="B18" t="s">
        <v>753</v>
      </c>
      <c r="E18" t="s">
        <v>754</v>
      </c>
      <c r="N18" s="29"/>
    </row>
    <row r="19" spans="2:14">
      <c r="B19" s="6" t="s">
        <v>15</v>
      </c>
      <c r="C19" t="s">
        <v>755</v>
      </c>
      <c r="E19" s="6" t="s">
        <v>15</v>
      </c>
      <c r="F19" t="s">
        <v>756</v>
      </c>
      <c r="G19" t="s">
        <v>757</v>
      </c>
      <c r="H19" t="s">
        <v>735</v>
      </c>
      <c r="J19" s="4" t="s">
        <v>15</v>
      </c>
      <c r="K19" s="30" t="s">
        <v>731</v>
      </c>
    </row>
    <row r="20" spans="2:14">
      <c r="B20">
        <v>1</v>
      </c>
      <c r="C20">
        <v>0</v>
      </c>
      <c r="E20">
        <v>1</v>
      </c>
      <c r="F20" s="231">
        <v>24420.510000000002</v>
      </c>
      <c r="G20" s="231">
        <v>26992</v>
      </c>
      <c r="H20" s="231">
        <v>2571.4899999999989</v>
      </c>
      <c r="J20" s="3" t="s">
        <v>758</v>
      </c>
      <c r="K20" s="48">
        <f>SUM(J3,N3,C20)</f>
        <v>142.19999999999999</v>
      </c>
    </row>
    <row r="21" spans="2:14">
      <c r="B21">
        <v>2</v>
      </c>
      <c r="C21">
        <v>0</v>
      </c>
      <c r="E21">
        <v>2</v>
      </c>
      <c r="F21" s="231">
        <v>18433.099999999995</v>
      </c>
      <c r="G21" s="231">
        <v>17800</v>
      </c>
      <c r="H21" s="231">
        <v>-633.0999999999998</v>
      </c>
      <c r="J21" s="3" t="s">
        <v>759</v>
      </c>
      <c r="K21" s="48">
        <f>SUM(J4,N4,C21)</f>
        <v>100</v>
      </c>
    </row>
    <row r="22" spans="2:14">
      <c r="B22">
        <v>3</v>
      </c>
      <c r="C22">
        <v>0</v>
      </c>
      <c r="E22">
        <v>3</v>
      </c>
      <c r="F22" s="231">
        <v>20546.049999999996</v>
      </c>
      <c r="G22" s="231">
        <v>22676</v>
      </c>
      <c r="H22" s="231">
        <v>2129.9500000000007</v>
      </c>
      <c r="J22" s="3" t="s">
        <v>760</v>
      </c>
      <c r="K22" s="48">
        <f>SUM(J5,N5,C22)</f>
        <v>109.15</v>
      </c>
    </row>
    <row r="23" spans="2:14">
      <c r="B23">
        <v>4</v>
      </c>
      <c r="C23">
        <v>0</v>
      </c>
      <c r="E23">
        <v>4</v>
      </c>
      <c r="F23" s="231">
        <v>32283.81</v>
      </c>
      <c r="G23" s="231">
        <v>35480.89</v>
      </c>
      <c r="H23" s="231">
        <v>3197.08</v>
      </c>
      <c r="J23" s="3" t="s">
        <v>761</v>
      </c>
      <c r="K23" s="48">
        <f>SUM(J6,N6,C23)</f>
        <v>120.53999999999999</v>
      </c>
    </row>
    <row r="24" spans="2:14">
      <c r="B24">
        <v>5</v>
      </c>
      <c r="C24">
        <v>0</v>
      </c>
      <c r="E24">
        <v>5</v>
      </c>
      <c r="F24" s="231">
        <v>13748.86</v>
      </c>
      <c r="G24" s="231">
        <v>13645</v>
      </c>
      <c r="H24" s="231">
        <v>-103.86000000000016</v>
      </c>
      <c r="J24" s="3" t="s">
        <v>762</v>
      </c>
      <c r="K24" s="48">
        <f>SUM(J7,N7,C24)</f>
        <v>82</v>
      </c>
    </row>
    <row r="25" spans="2:14">
      <c r="B25">
        <v>6</v>
      </c>
      <c r="C25">
        <v>0</v>
      </c>
      <c r="E25">
        <v>6</v>
      </c>
      <c r="F25" s="231">
        <v>26633.17</v>
      </c>
      <c r="G25" s="231">
        <v>28350</v>
      </c>
      <c r="H25" s="231">
        <v>1716.8300000000004</v>
      </c>
      <c r="J25" s="3" t="s">
        <v>763</v>
      </c>
      <c r="K25" s="48">
        <f>SUM(J8:K8,N8,C25)</f>
        <v>250</v>
      </c>
    </row>
    <row r="26" spans="2:14">
      <c r="B26">
        <v>7</v>
      </c>
      <c r="C26">
        <v>83.948999999999984</v>
      </c>
      <c r="E26">
        <v>7</v>
      </c>
      <c r="F26" s="231">
        <v>22300.38</v>
      </c>
      <c r="G26" s="231">
        <v>22705</v>
      </c>
      <c r="H26" s="231">
        <v>404.62000000000046</v>
      </c>
      <c r="J26" s="3" t="s">
        <v>764</v>
      </c>
      <c r="K26" s="48">
        <f>SUM(J9:K9,N9,C26)</f>
        <v>257.09899999999993</v>
      </c>
    </row>
    <row r="27" spans="2:14">
      <c r="B27">
        <v>8</v>
      </c>
      <c r="C27">
        <v>0</v>
      </c>
      <c r="E27">
        <v>8</v>
      </c>
      <c r="F27" s="231">
        <v>28529.999999999996</v>
      </c>
      <c r="G27" s="231">
        <v>27749</v>
      </c>
      <c r="H27" s="231">
        <v>-781.00000000000011</v>
      </c>
      <c r="J27" s="3" t="s">
        <v>765</v>
      </c>
      <c r="K27" s="48">
        <f>SUM(J10:K10,N10,C27)</f>
        <v>420.5</v>
      </c>
    </row>
    <row r="28" spans="2:14">
      <c r="B28">
        <v>9</v>
      </c>
      <c r="C28">
        <v>0</v>
      </c>
      <c r="E28">
        <v>9</v>
      </c>
      <c r="F28" s="231">
        <v>18363.72</v>
      </c>
      <c r="G28" s="231">
        <v>20385.64</v>
      </c>
      <c r="H28" s="231">
        <v>2021.92</v>
      </c>
      <c r="J28" s="3" t="s">
        <v>766</v>
      </c>
      <c r="K28" s="48">
        <f>SUM(J11:K11,N11,C28)</f>
        <v>283.40000000000003</v>
      </c>
    </row>
    <row r="29" spans="2:14">
      <c r="B29">
        <v>10</v>
      </c>
      <c r="C29">
        <v>0</v>
      </c>
      <c r="E29">
        <v>10</v>
      </c>
      <c r="F29" s="231">
        <v>37572.600000000006</v>
      </c>
      <c r="G29" s="231">
        <v>44023.479999999996</v>
      </c>
      <c r="H29" s="231">
        <v>6450.880000000001</v>
      </c>
      <c r="J29" s="3" t="s">
        <v>767</v>
      </c>
      <c r="K29" s="48">
        <f>SUM(J12:K12,N12,C29)</f>
        <v>564.14999999999986</v>
      </c>
    </row>
    <row r="30" spans="2:14">
      <c r="B30">
        <v>11</v>
      </c>
      <c r="C30">
        <v>0</v>
      </c>
      <c r="E30">
        <v>11</v>
      </c>
      <c r="F30" s="231">
        <v>3391.48</v>
      </c>
      <c r="G30" s="231">
        <v>3805</v>
      </c>
      <c r="H30" s="231">
        <v>413.52</v>
      </c>
      <c r="J30" s="3" t="s">
        <v>768</v>
      </c>
      <c r="K30" s="48">
        <f>SUM(J13:K13,N13,C30)</f>
        <v>50</v>
      </c>
    </row>
    <row r="31" spans="2:14">
      <c r="B31">
        <v>12</v>
      </c>
      <c r="C31">
        <v>0</v>
      </c>
      <c r="E31">
        <v>12</v>
      </c>
      <c r="F31" s="231">
        <v>0</v>
      </c>
      <c r="G31" s="231">
        <v>0</v>
      </c>
      <c r="H31" s="231">
        <v>0</v>
      </c>
      <c r="J31" s="3" t="s">
        <v>769</v>
      </c>
      <c r="K31" s="48">
        <f>SUM(J14:K14,N14,C31)</f>
        <v>0</v>
      </c>
    </row>
    <row r="32" spans="2:14">
      <c r="B32" t="s">
        <v>752</v>
      </c>
      <c r="C32">
        <v>83.948999999999984</v>
      </c>
      <c r="E32" t="s">
        <v>752</v>
      </c>
      <c r="F32" s="231">
        <v>246223.68000000002</v>
      </c>
      <c r="G32" s="231">
        <v>263612.01</v>
      </c>
      <c r="H32" s="231">
        <v>17388.330000000002</v>
      </c>
      <c r="J32" s="4" t="s">
        <v>770</v>
      </c>
      <c r="K32" s="135">
        <f>SUM(K20:K31)</f>
        <v>2379.0389999999998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1A37-D156-4816-812D-BF93884B0FE0}">
  <sheetPr>
    <tabColor theme="5"/>
  </sheetPr>
  <dimension ref="A1:O89"/>
  <sheetViews>
    <sheetView topLeftCell="A36" workbookViewId="0">
      <selection activeCell="A45" sqref="A45:B45"/>
    </sheetView>
  </sheetViews>
  <sheetFormatPr defaultRowHeight="15"/>
  <cols>
    <col min="1" max="1" width="12" customWidth="1"/>
    <col min="2" max="2" width="22.28515625" bestFit="1" customWidth="1"/>
    <col min="3" max="3" width="17.7109375" bestFit="1" customWidth="1"/>
    <col min="4" max="4" width="16.28515625" bestFit="1" customWidth="1"/>
    <col min="5" max="5" width="11.7109375" bestFit="1" customWidth="1"/>
    <col min="6" max="6" width="26.140625" customWidth="1"/>
    <col min="7" max="7" width="15.85546875" customWidth="1"/>
    <col min="8" max="8" width="10.140625" bestFit="1" customWidth="1"/>
    <col min="9" max="9" width="10.7109375" bestFit="1" customWidth="1"/>
    <col min="10" max="13" width="10.140625" bestFit="1" customWidth="1"/>
    <col min="14" max="14" width="11.28515625" bestFit="1" customWidth="1"/>
    <col min="15" max="15" width="11.7109375" bestFit="1" customWidth="1"/>
  </cols>
  <sheetData>
    <row r="1" spans="1:15">
      <c r="A1" t="s">
        <v>771</v>
      </c>
    </row>
    <row r="3" spans="1:15">
      <c r="A3" s="128" t="s">
        <v>726</v>
      </c>
      <c r="B3" s="128" t="s">
        <v>772</v>
      </c>
      <c r="C3" s="128" t="s">
        <v>773</v>
      </c>
      <c r="D3" s="128" t="s">
        <v>774</v>
      </c>
      <c r="E3" s="128" t="s">
        <v>775</v>
      </c>
      <c r="F3" s="128" t="s">
        <v>776</v>
      </c>
      <c r="G3" s="128" t="s">
        <v>777</v>
      </c>
      <c r="H3" s="128" t="s">
        <v>778</v>
      </c>
      <c r="I3" s="128" t="s">
        <v>779</v>
      </c>
      <c r="J3" s="128" t="s">
        <v>780</v>
      </c>
      <c r="K3" s="128" t="s">
        <v>781</v>
      </c>
      <c r="L3" s="128" t="s">
        <v>782</v>
      </c>
      <c r="M3" s="128" t="s">
        <v>783</v>
      </c>
      <c r="N3" s="128" t="s">
        <v>784</v>
      </c>
      <c r="O3" s="130" t="s">
        <v>785</v>
      </c>
    </row>
    <row r="4" spans="1:15">
      <c r="A4" s="1">
        <v>45591</v>
      </c>
      <c r="B4" t="s">
        <v>786</v>
      </c>
      <c r="C4" t="s">
        <v>787</v>
      </c>
      <c r="D4" s="120">
        <v>3325</v>
      </c>
      <c r="E4" s="120">
        <v>1000</v>
      </c>
      <c r="F4" s="120">
        <v>581.25</v>
      </c>
      <c r="G4" s="120">
        <v>581</v>
      </c>
      <c r="H4" s="120">
        <v>581</v>
      </c>
      <c r="I4" s="120">
        <v>581.75</v>
      </c>
      <c r="J4" s="120">
        <v>0</v>
      </c>
      <c r="K4" s="120">
        <v>0</v>
      </c>
      <c r="L4" s="120">
        <v>0</v>
      </c>
      <c r="M4" s="120">
        <v>0</v>
      </c>
      <c r="N4" s="120">
        <v>0</v>
      </c>
      <c r="O4" s="131">
        <f>SUM(D4-(E4+F4+G4+H4+I4+J4+K4+L4+M4+N4))</f>
        <v>0</v>
      </c>
    </row>
    <row r="5" spans="1:15">
      <c r="A5" s="1">
        <v>45659</v>
      </c>
      <c r="B5" t="s">
        <v>788</v>
      </c>
      <c r="C5" t="s">
        <v>789</v>
      </c>
      <c r="D5" s="120">
        <v>3355</v>
      </c>
      <c r="E5" s="120">
        <v>2200</v>
      </c>
      <c r="F5" s="120">
        <v>200</v>
      </c>
      <c r="G5" s="120">
        <v>300</v>
      </c>
      <c r="H5" s="120">
        <v>300</v>
      </c>
      <c r="I5" s="120">
        <v>200</v>
      </c>
      <c r="J5" s="120">
        <v>100</v>
      </c>
      <c r="K5" s="120">
        <v>55</v>
      </c>
      <c r="L5" s="120">
        <v>0</v>
      </c>
      <c r="M5" s="120">
        <v>0</v>
      </c>
      <c r="N5" s="120">
        <v>0</v>
      </c>
      <c r="O5" s="131">
        <f>SUM(D5-(E5+F5+G5+H5+I5+J5+K5+L5+M5+N5))</f>
        <v>0</v>
      </c>
    </row>
    <row r="6" spans="1:15">
      <c r="A6" s="1">
        <v>45700</v>
      </c>
      <c r="B6" t="s">
        <v>790</v>
      </c>
      <c r="C6" t="s">
        <v>791</v>
      </c>
      <c r="D6" s="120">
        <v>4670</v>
      </c>
      <c r="E6" s="120">
        <v>1250</v>
      </c>
      <c r="F6" s="120">
        <v>855</v>
      </c>
      <c r="G6" s="120">
        <v>0</v>
      </c>
      <c r="H6" s="120">
        <v>855</v>
      </c>
      <c r="I6" s="120">
        <v>1200</v>
      </c>
      <c r="J6" s="120">
        <v>510</v>
      </c>
      <c r="K6" s="120">
        <v>0</v>
      </c>
      <c r="L6" s="120">
        <v>0</v>
      </c>
      <c r="M6" s="120">
        <v>0</v>
      </c>
      <c r="N6" s="120">
        <v>0</v>
      </c>
      <c r="O6" s="131">
        <f>SUM(D6-(E6+F6+G6+H6+I6+J6+K6+L6+M6+N6))</f>
        <v>0</v>
      </c>
    </row>
    <row r="7" spans="1:15">
      <c r="A7" s="1">
        <v>45771</v>
      </c>
      <c r="B7" t="s">
        <v>792</v>
      </c>
      <c r="C7" t="s">
        <v>793</v>
      </c>
      <c r="D7" s="120">
        <v>2725</v>
      </c>
      <c r="E7" s="120">
        <v>1250</v>
      </c>
      <c r="F7" s="120">
        <v>245.83</v>
      </c>
      <c r="G7" s="120">
        <v>245.83</v>
      </c>
      <c r="H7" s="120">
        <v>245.83</v>
      </c>
      <c r="I7" s="120">
        <v>245.83</v>
      </c>
      <c r="J7" s="120">
        <v>245.83</v>
      </c>
      <c r="K7" s="120">
        <v>245.83</v>
      </c>
      <c r="L7" s="120">
        <v>0</v>
      </c>
      <c r="M7" s="120">
        <v>0</v>
      </c>
      <c r="N7" s="120">
        <v>0</v>
      </c>
      <c r="O7" s="131">
        <f>SUM(D7-(E7+F7+G7+H7+I7+J7+K7+L7+M7+N7))</f>
        <v>2.0000000000436557E-2</v>
      </c>
    </row>
    <row r="8" spans="1:15">
      <c r="A8" s="1">
        <v>45782</v>
      </c>
      <c r="B8" t="s">
        <v>794</v>
      </c>
      <c r="C8" t="s">
        <v>795</v>
      </c>
      <c r="D8" s="120">
        <v>1865</v>
      </c>
      <c r="E8" s="29">
        <v>700</v>
      </c>
      <c r="F8" s="120">
        <v>582.5</v>
      </c>
      <c r="G8" s="120">
        <v>582.5</v>
      </c>
      <c r="H8" s="120">
        <v>0</v>
      </c>
      <c r="I8" s="120">
        <v>0</v>
      </c>
      <c r="J8" s="120">
        <v>0</v>
      </c>
      <c r="K8" s="120">
        <v>0</v>
      </c>
      <c r="L8" s="120">
        <v>0</v>
      </c>
      <c r="M8" s="120">
        <v>0</v>
      </c>
      <c r="N8" s="120">
        <v>0</v>
      </c>
      <c r="O8" s="131">
        <f>SUM(D8-(E8+F8+G8+H8+I8+J8+K8+L8+M8+N8))</f>
        <v>0</v>
      </c>
    </row>
    <row r="9" spans="1:15">
      <c r="A9" s="1">
        <v>45841</v>
      </c>
      <c r="B9" t="s">
        <v>796</v>
      </c>
      <c r="D9" s="120">
        <v>4425</v>
      </c>
      <c r="E9" s="120">
        <v>1000</v>
      </c>
      <c r="F9" s="120">
        <v>1000</v>
      </c>
      <c r="G9" s="120">
        <v>825</v>
      </c>
      <c r="H9" s="120">
        <v>800</v>
      </c>
      <c r="I9" s="120">
        <v>800</v>
      </c>
      <c r="J9" s="120">
        <v>0</v>
      </c>
      <c r="K9" s="120">
        <v>0</v>
      </c>
      <c r="L9" s="120">
        <v>0</v>
      </c>
      <c r="M9" s="120">
        <v>0</v>
      </c>
      <c r="N9" s="120">
        <v>0</v>
      </c>
      <c r="O9" s="131">
        <f t="shared" ref="O6:O30" si="0">SUM(D9-(E9+F9+G9+H9+I9+J9+K9+L9+M9+N9))</f>
        <v>0</v>
      </c>
    </row>
    <row r="10" spans="1:15">
      <c r="A10" s="1">
        <v>45874</v>
      </c>
      <c r="B10" t="s">
        <v>797</v>
      </c>
      <c r="D10" s="120">
        <v>5100</v>
      </c>
      <c r="E10" s="120">
        <v>3000</v>
      </c>
      <c r="F10" s="120">
        <v>2100</v>
      </c>
      <c r="G10" s="120">
        <v>0</v>
      </c>
      <c r="H10" s="120">
        <v>0</v>
      </c>
      <c r="I10" s="120">
        <v>0</v>
      </c>
      <c r="J10" s="120">
        <v>0</v>
      </c>
      <c r="K10" s="120">
        <v>0</v>
      </c>
      <c r="L10" s="120">
        <v>0</v>
      </c>
      <c r="M10" s="120">
        <v>0</v>
      </c>
      <c r="N10" s="120">
        <v>0</v>
      </c>
      <c r="O10" s="131">
        <f t="shared" si="0"/>
        <v>0</v>
      </c>
    </row>
    <row r="11" spans="1:15">
      <c r="A11" s="1">
        <v>45972</v>
      </c>
      <c r="B11" t="s">
        <v>798</v>
      </c>
      <c r="C11" t="s">
        <v>799</v>
      </c>
      <c r="D11" s="120">
        <v>3300</v>
      </c>
      <c r="E11" s="120">
        <v>1650</v>
      </c>
      <c r="F11" s="120">
        <v>1650</v>
      </c>
      <c r="G11" s="120">
        <v>0</v>
      </c>
      <c r="H11" s="120">
        <v>0</v>
      </c>
      <c r="I11" s="120">
        <v>0</v>
      </c>
      <c r="J11" s="120">
        <v>0</v>
      </c>
      <c r="K11" s="120">
        <v>0</v>
      </c>
      <c r="L11" s="120">
        <v>0</v>
      </c>
      <c r="M11" s="120">
        <v>0</v>
      </c>
      <c r="N11" s="120">
        <v>0</v>
      </c>
      <c r="O11" s="131">
        <f t="shared" si="0"/>
        <v>0</v>
      </c>
    </row>
    <row r="12" spans="1:15">
      <c r="A12" s="1" t="s">
        <v>800</v>
      </c>
      <c r="B12" t="s">
        <v>801</v>
      </c>
      <c r="C12" t="s">
        <v>802</v>
      </c>
      <c r="D12" s="120">
        <v>9100</v>
      </c>
      <c r="E12" s="120">
        <v>4550</v>
      </c>
      <c r="F12" s="120">
        <v>2500</v>
      </c>
      <c r="G12" s="120">
        <v>2050</v>
      </c>
      <c r="H12" s="120">
        <v>0</v>
      </c>
      <c r="I12" s="120">
        <v>0</v>
      </c>
      <c r="J12" s="120">
        <v>0</v>
      </c>
      <c r="K12" s="120">
        <v>0</v>
      </c>
      <c r="L12" s="120">
        <v>0</v>
      </c>
      <c r="M12" s="120">
        <v>0</v>
      </c>
      <c r="N12" s="120">
        <v>0</v>
      </c>
      <c r="O12" s="131">
        <f t="shared" si="0"/>
        <v>0</v>
      </c>
    </row>
    <row r="13" spans="1:15">
      <c r="A13" s="217" t="s">
        <v>803</v>
      </c>
      <c r="B13" s="218" t="s">
        <v>804</v>
      </c>
      <c r="D13" s="120">
        <v>4940</v>
      </c>
      <c r="E13" s="120">
        <v>1000</v>
      </c>
      <c r="F13" s="120">
        <v>1000</v>
      </c>
      <c r="G13" s="120">
        <v>0</v>
      </c>
      <c r="H13" s="120">
        <v>0</v>
      </c>
      <c r="I13" s="120">
        <v>0</v>
      </c>
      <c r="J13" s="120">
        <v>0</v>
      </c>
      <c r="K13" s="120">
        <v>0</v>
      </c>
      <c r="L13" s="120">
        <v>0</v>
      </c>
      <c r="M13" s="120">
        <v>0</v>
      </c>
      <c r="N13" s="120">
        <v>0</v>
      </c>
      <c r="O13" s="131">
        <f t="shared" si="0"/>
        <v>2940</v>
      </c>
    </row>
    <row r="14" spans="1:15">
      <c r="A14" s="217" t="s">
        <v>805</v>
      </c>
      <c r="B14" s="218" t="s">
        <v>806</v>
      </c>
      <c r="C14" t="s">
        <v>807</v>
      </c>
      <c r="D14" s="120">
        <v>4200</v>
      </c>
      <c r="E14" s="120">
        <v>1200</v>
      </c>
      <c r="F14" s="120">
        <v>0</v>
      </c>
      <c r="G14" s="120">
        <v>0</v>
      </c>
      <c r="H14" s="120">
        <v>0</v>
      </c>
      <c r="I14" s="120">
        <v>0</v>
      </c>
      <c r="J14" s="120">
        <v>0</v>
      </c>
      <c r="K14" s="120">
        <v>0</v>
      </c>
      <c r="L14" s="120">
        <v>0</v>
      </c>
      <c r="M14" s="120">
        <v>0</v>
      </c>
      <c r="N14" s="120">
        <v>0</v>
      </c>
      <c r="O14" s="131">
        <f t="shared" si="0"/>
        <v>3000</v>
      </c>
    </row>
    <row r="15" spans="1:15">
      <c r="A15" s="1" t="s">
        <v>808</v>
      </c>
      <c r="B15" t="s">
        <v>809</v>
      </c>
      <c r="C15" s="206">
        <v>46025</v>
      </c>
      <c r="D15" s="120">
        <v>6390</v>
      </c>
      <c r="E15" s="120">
        <v>3000</v>
      </c>
      <c r="F15" s="120">
        <v>2000</v>
      </c>
      <c r="G15" s="120">
        <v>1390</v>
      </c>
      <c r="H15" s="120">
        <v>0</v>
      </c>
      <c r="I15" s="120">
        <v>0</v>
      </c>
      <c r="J15" s="120">
        <v>0</v>
      </c>
      <c r="K15" s="120">
        <v>0</v>
      </c>
      <c r="L15" s="120">
        <v>0</v>
      </c>
      <c r="M15" s="120">
        <v>0</v>
      </c>
      <c r="N15" s="120">
        <v>0</v>
      </c>
      <c r="O15" s="131">
        <f t="shared" si="0"/>
        <v>0</v>
      </c>
    </row>
    <row r="16" spans="1:15">
      <c r="A16" s="217" t="s">
        <v>810</v>
      </c>
      <c r="B16" s="218" t="s">
        <v>811</v>
      </c>
      <c r="C16" t="s">
        <v>812</v>
      </c>
      <c r="D16" s="120">
        <v>2820</v>
      </c>
      <c r="E16" s="120">
        <v>1020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120">
        <v>0</v>
      </c>
      <c r="L16" s="120">
        <v>0</v>
      </c>
      <c r="M16" s="120">
        <v>0</v>
      </c>
      <c r="N16" s="120">
        <v>0</v>
      </c>
      <c r="O16" s="131">
        <f t="shared" si="0"/>
        <v>1800</v>
      </c>
    </row>
    <row r="17" spans="1:15">
      <c r="A17" s="1"/>
      <c r="D17" s="120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120">
        <v>0</v>
      </c>
      <c r="L17" s="120">
        <v>0</v>
      </c>
      <c r="M17" s="120">
        <v>0</v>
      </c>
      <c r="N17" s="120">
        <v>0</v>
      </c>
      <c r="O17" s="131">
        <f t="shared" si="0"/>
        <v>0</v>
      </c>
    </row>
    <row r="18" spans="1:15">
      <c r="A18" s="1"/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  <c r="L18" s="120">
        <v>0</v>
      </c>
      <c r="M18" s="120">
        <v>0</v>
      </c>
      <c r="N18" s="120">
        <v>0</v>
      </c>
      <c r="O18" s="131">
        <f t="shared" si="0"/>
        <v>0</v>
      </c>
    </row>
    <row r="19" spans="1:15">
      <c r="A19" s="1"/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120">
        <v>0</v>
      </c>
      <c r="L19" s="120">
        <v>0</v>
      </c>
      <c r="M19" s="120">
        <v>0</v>
      </c>
      <c r="N19" s="120">
        <v>0</v>
      </c>
      <c r="O19" s="131">
        <f t="shared" si="0"/>
        <v>0</v>
      </c>
    </row>
    <row r="20" spans="1:15">
      <c r="A20" s="1"/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0">
        <v>0</v>
      </c>
      <c r="N20" s="120">
        <v>0</v>
      </c>
      <c r="O20" s="131">
        <f t="shared" si="0"/>
        <v>0</v>
      </c>
    </row>
    <row r="21" spans="1:15">
      <c r="A21" s="1"/>
      <c r="D21" s="120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L21" s="120">
        <v>0</v>
      </c>
      <c r="M21" s="120">
        <v>0</v>
      </c>
      <c r="N21" s="120">
        <v>0</v>
      </c>
      <c r="O21" s="131">
        <f t="shared" si="0"/>
        <v>0</v>
      </c>
    </row>
    <row r="22" spans="1:15">
      <c r="A22" s="1"/>
      <c r="D22" s="120">
        <v>0</v>
      </c>
      <c r="E22" s="120">
        <v>0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120">
        <v>0</v>
      </c>
      <c r="L22" s="120">
        <v>0</v>
      </c>
      <c r="M22" s="120">
        <v>0</v>
      </c>
      <c r="N22" s="120">
        <v>0</v>
      </c>
      <c r="O22" s="131">
        <f t="shared" si="0"/>
        <v>0</v>
      </c>
    </row>
    <row r="23" spans="1:15">
      <c r="A23" s="1"/>
      <c r="D23" s="120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>
        <v>0</v>
      </c>
      <c r="L23" s="120">
        <v>0</v>
      </c>
      <c r="M23" s="120">
        <v>0</v>
      </c>
      <c r="N23" s="120">
        <v>0</v>
      </c>
      <c r="O23" s="131">
        <f t="shared" si="0"/>
        <v>0</v>
      </c>
    </row>
    <row r="24" spans="1:15">
      <c r="A24" s="1"/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L24" s="120">
        <v>0</v>
      </c>
      <c r="M24" s="120">
        <v>0</v>
      </c>
      <c r="N24" s="120">
        <v>0</v>
      </c>
      <c r="O24" s="131">
        <f t="shared" si="0"/>
        <v>0</v>
      </c>
    </row>
    <row r="25" spans="1:15">
      <c r="A25" s="1"/>
      <c r="D25" s="120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  <c r="L25" s="120">
        <v>0</v>
      </c>
      <c r="M25" s="120">
        <v>0</v>
      </c>
      <c r="N25" s="120">
        <v>0</v>
      </c>
      <c r="O25" s="131">
        <f t="shared" si="0"/>
        <v>0</v>
      </c>
    </row>
    <row r="26" spans="1:15">
      <c r="A26" s="1"/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L26" s="120">
        <v>0</v>
      </c>
      <c r="M26" s="120">
        <v>0</v>
      </c>
      <c r="N26" s="120">
        <v>0</v>
      </c>
      <c r="O26" s="131">
        <f t="shared" si="0"/>
        <v>0</v>
      </c>
    </row>
    <row r="27" spans="1:15">
      <c r="A27" s="1"/>
      <c r="D27" s="120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  <c r="L27" s="120">
        <v>0</v>
      </c>
      <c r="M27" s="120">
        <v>0</v>
      </c>
      <c r="N27" s="120">
        <v>0</v>
      </c>
      <c r="O27" s="131">
        <f t="shared" si="0"/>
        <v>0</v>
      </c>
    </row>
    <row r="28" spans="1:15">
      <c r="A28" s="1"/>
      <c r="D28" s="120">
        <v>0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120">
        <v>0</v>
      </c>
      <c r="L28" s="120">
        <v>0</v>
      </c>
      <c r="M28" s="120">
        <v>0</v>
      </c>
      <c r="N28" s="120">
        <v>0</v>
      </c>
      <c r="O28" s="131">
        <f t="shared" si="0"/>
        <v>0</v>
      </c>
    </row>
    <row r="29" spans="1:15">
      <c r="A29" s="1"/>
      <c r="D29" s="120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120">
        <v>0</v>
      </c>
      <c r="L29" s="120">
        <v>0</v>
      </c>
      <c r="M29" s="120">
        <v>0</v>
      </c>
      <c r="N29" s="120">
        <v>0</v>
      </c>
      <c r="O29" s="131">
        <f t="shared" si="0"/>
        <v>0</v>
      </c>
    </row>
    <row r="30" spans="1:15">
      <c r="A30" s="1"/>
      <c r="D30" s="120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120">
        <v>0</v>
      </c>
      <c r="L30" s="120">
        <v>0</v>
      </c>
      <c r="M30" s="120">
        <v>0</v>
      </c>
      <c r="N30" s="120">
        <v>0</v>
      </c>
      <c r="O30" s="131">
        <f t="shared" si="0"/>
        <v>0</v>
      </c>
    </row>
    <row r="31" spans="1:15">
      <c r="A31" s="126"/>
      <c r="B31" s="126"/>
      <c r="C31" s="127" t="s">
        <v>813</v>
      </c>
      <c r="D31" s="133">
        <f>SUM(D4:D30)</f>
        <v>56215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32">
        <f>SUM(O4:O30)</f>
        <v>7740.02</v>
      </c>
    </row>
    <row r="34" spans="1:6">
      <c r="A34" t="s">
        <v>814</v>
      </c>
    </row>
    <row r="36" spans="1:6">
      <c r="A36" s="134" t="s">
        <v>726</v>
      </c>
      <c r="B36" s="134" t="s">
        <v>772</v>
      </c>
      <c r="C36" s="134" t="s">
        <v>815</v>
      </c>
      <c r="D36" s="134" t="s">
        <v>816</v>
      </c>
      <c r="E36" s="129" t="s">
        <v>817</v>
      </c>
    </row>
    <row r="37" spans="1:6">
      <c r="A37" s="9" t="s">
        <v>818</v>
      </c>
      <c r="B37" s="9" t="s">
        <v>819</v>
      </c>
      <c r="C37" s="137">
        <f>644+120+40+70</f>
        <v>874</v>
      </c>
      <c r="D37" s="137">
        <v>0</v>
      </c>
      <c r="E37" s="136">
        <f>SUM(C37-D37)</f>
        <v>874</v>
      </c>
      <c r="F37" t="s">
        <v>820</v>
      </c>
    </row>
    <row r="38" spans="1:6">
      <c r="A38" s="1">
        <v>45658</v>
      </c>
      <c r="B38" t="s">
        <v>821</v>
      </c>
      <c r="C38" s="137">
        <v>340</v>
      </c>
      <c r="D38" s="137">
        <v>0</v>
      </c>
      <c r="E38" s="136">
        <f>SUM(C38-D38)</f>
        <v>340</v>
      </c>
    </row>
    <row r="39" spans="1:6">
      <c r="A39" s="1"/>
      <c r="B39" t="s">
        <v>822</v>
      </c>
      <c r="C39" s="137">
        <v>150</v>
      </c>
      <c r="D39" s="138">
        <v>0</v>
      </c>
      <c r="E39" s="136">
        <f t="shared" ref="E39:E85" si="1">SUM(C39-D39)</f>
        <v>150</v>
      </c>
    </row>
    <row r="40" spans="1:6">
      <c r="A40" s="1"/>
      <c r="B40" t="s">
        <v>823</v>
      </c>
      <c r="C40" s="137">
        <v>295</v>
      </c>
      <c r="D40" s="138">
        <v>0</v>
      </c>
      <c r="E40" s="136">
        <f t="shared" si="1"/>
        <v>295</v>
      </c>
    </row>
    <row r="41" spans="1:6">
      <c r="A41" s="1"/>
      <c r="B41" t="s">
        <v>824</v>
      </c>
      <c r="C41" s="137">
        <v>35</v>
      </c>
      <c r="D41" s="138">
        <v>0</v>
      </c>
      <c r="E41" s="136">
        <f t="shared" si="1"/>
        <v>35</v>
      </c>
    </row>
    <row r="42" spans="1:6">
      <c r="A42" s="1" t="s">
        <v>805</v>
      </c>
      <c r="B42" t="s">
        <v>825</v>
      </c>
      <c r="C42" s="137">
        <v>395</v>
      </c>
      <c r="D42" s="138">
        <v>0</v>
      </c>
      <c r="E42" s="136">
        <f t="shared" si="1"/>
        <v>395</v>
      </c>
    </row>
    <row r="43" spans="1:6">
      <c r="A43" s="1">
        <v>45726</v>
      </c>
      <c r="B43" t="s">
        <v>826</v>
      </c>
      <c r="C43" s="137">
        <v>2290</v>
      </c>
      <c r="D43" s="138">
        <v>0</v>
      </c>
      <c r="E43" s="136">
        <f t="shared" si="1"/>
        <v>2290</v>
      </c>
      <c r="F43" t="s">
        <v>820</v>
      </c>
    </row>
    <row r="44" spans="1:6">
      <c r="A44" s="1">
        <v>45942</v>
      </c>
      <c r="B44" t="s">
        <v>827</v>
      </c>
      <c r="C44" s="137">
        <v>125</v>
      </c>
      <c r="D44" s="138">
        <v>125</v>
      </c>
      <c r="E44" s="136">
        <f t="shared" si="1"/>
        <v>0</v>
      </c>
    </row>
    <row r="45" spans="1:6">
      <c r="A45" s="217" t="s">
        <v>828</v>
      </c>
      <c r="B45" s="218" t="s">
        <v>829</v>
      </c>
      <c r="C45" s="137">
        <v>5650</v>
      </c>
      <c r="D45" s="138">
        <f>3000+1600</f>
        <v>4600</v>
      </c>
      <c r="E45" s="136">
        <f t="shared" si="1"/>
        <v>1050</v>
      </c>
    </row>
    <row r="46" spans="1:6">
      <c r="A46" s="1" t="s">
        <v>828</v>
      </c>
      <c r="B46" t="s">
        <v>830</v>
      </c>
      <c r="C46" s="137">
        <f>6965+1225</f>
        <v>8190</v>
      </c>
      <c r="D46" s="138">
        <f>4490+2475</f>
        <v>6965</v>
      </c>
      <c r="E46" s="136">
        <f t="shared" si="1"/>
        <v>1225</v>
      </c>
    </row>
    <row r="47" spans="1:6">
      <c r="A47" s="1" t="s">
        <v>831</v>
      </c>
      <c r="B47" t="s">
        <v>832</v>
      </c>
      <c r="C47" s="137">
        <v>260</v>
      </c>
      <c r="D47" s="138">
        <v>150</v>
      </c>
      <c r="E47" s="136">
        <f t="shared" si="1"/>
        <v>110</v>
      </c>
    </row>
    <row r="48" spans="1:6">
      <c r="A48" s="217">
        <v>46235</v>
      </c>
      <c r="B48" s="218" t="s">
        <v>833</v>
      </c>
      <c r="C48" s="137">
        <v>3000</v>
      </c>
      <c r="D48" s="138">
        <v>1500</v>
      </c>
      <c r="E48" s="136">
        <f t="shared" si="1"/>
        <v>1500</v>
      </c>
    </row>
    <row r="49" spans="1:5">
      <c r="A49" s="1">
        <v>46035</v>
      </c>
      <c r="B49" t="s">
        <v>834</v>
      </c>
      <c r="C49" s="137">
        <v>1820</v>
      </c>
      <c r="D49" s="138">
        <v>1000</v>
      </c>
      <c r="E49" s="136">
        <f t="shared" si="1"/>
        <v>820</v>
      </c>
    </row>
    <row r="50" spans="1:5">
      <c r="A50" s="1">
        <v>46042</v>
      </c>
      <c r="B50" t="s">
        <v>835</v>
      </c>
      <c r="C50" s="137">
        <v>375</v>
      </c>
      <c r="D50" s="138"/>
      <c r="E50" s="136">
        <f t="shared" si="1"/>
        <v>375</v>
      </c>
    </row>
    <row r="51" spans="1:5">
      <c r="A51" s="1">
        <v>46357</v>
      </c>
      <c r="B51" t="s">
        <v>836</v>
      </c>
      <c r="C51" s="137">
        <v>445</v>
      </c>
      <c r="D51" s="138"/>
      <c r="E51" s="136">
        <f t="shared" si="1"/>
        <v>445</v>
      </c>
    </row>
    <row r="52" spans="1:5">
      <c r="A52" s="217">
        <v>46046</v>
      </c>
      <c r="B52" s="218" t="s">
        <v>837</v>
      </c>
      <c r="C52" s="219">
        <v>4100</v>
      </c>
      <c r="D52" s="220">
        <v>2000</v>
      </c>
      <c r="E52" s="221">
        <f t="shared" si="1"/>
        <v>2100</v>
      </c>
    </row>
    <row r="53" spans="1:5">
      <c r="A53" s="1"/>
      <c r="C53" s="137"/>
      <c r="D53" s="138"/>
      <c r="E53" s="136">
        <f t="shared" si="1"/>
        <v>0</v>
      </c>
    </row>
    <row r="54" spans="1:5">
      <c r="A54" s="1"/>
      <c r="C54" s="137"/>
      <c r="D54" s="138"/>
      <c r="E54" s="136">
        <f t="shared" si="1"/>
        <v>0</v>
      </c>
    </row>
    <row r="55" spans="1:5">
      <c r="A55" s="1"/>
      <c r="C55" s="137"/>
      <c r="D55" s="138"/>
      <c r="E55" s="136">
        <f t="shared" si="1"/>
        <v>0</v>
      </c>
    </row>
    <row r="56" spans="1:5">
      <c r="A56" s="1"/>
      <c r="C56" s="137"/>
      <c r="D56" s="138"/>
      <c r="E56" s="136">
        <f t="shared" si="1"/>
        <v>0</v>
      </c>
    </row>
    <row r="57" spans="1:5">
      <c r="A57" s="1"/>
      <c r="C57" s="137"/>
      <c r="D57" s="138"/>
      <c r="E57" s="136">
        <f>SUM(C57-D57)</f>
        <v>0</v>
      </c>
    </row>
    <row r="58" spans="1:5">
      <c r="A58" s="1"/>
      <c r="C58" s="137"/>
      <c r="D58" s="138"/>
      <c r="E58" s="136">
        <f t="shared" si="1"/>
        <v>0</v>
      </c>
    </row>
    <row r="59" spans="1:5">
      <c r="A59" s="1"/>
      <c r="C59" s="137"/>
      <c r="D59" s="138"/>
      <c r="E59" s="136">
        <f t="shared" si="1"/>
        <v>0</v>
      </c>
    </row>
    <row r="60" spans="1:5">
      <c r="A60" s="1"/>
      <c r="C60" s="137"/>
      <c r="D60" s="138"/>
      <c r="E60" s="136">
        <f t="shared" si="1"/>
        <v>0</v>
      </c>
    </row>
    <row r="61" spans="1:5">
      <c r="A61" s="203"/>
      <c r="B61" s="204" t="s">
        <v>838</v>
      </c>
      <c r="C61" s="205">
        <f>SUM(C37:C60)</f>
        <v>28344</v>
      </c>
      <c r="D61" s="205">
        <f>SUM(D37:D60)</f>
        <v>16340</v>
      </c>
      <c r="E61" s="212">
        <f>SUM(E37:E60)</f>
        <v>12004</v>
      </c>
    </row>
    <row r="62" spans="1:5">
      <c r="A62" s="207"/>
      <c r="B62" s="125"/>
      <c r="C62" s="208"/>
      <c r="D62" s="209"/>
      <c r="E62" s="210"/>
    </row>
    <row r="63" spans="1:5">
      <c r="A63" s="134" t="s">
        <v>726</v>
      </c>
      <c r="B63" s="134" t="s">
        <v>772</v>
      </c>
      <c r="C63" s="134" t="s">
        <v>815</v>
      </c>
      <c r="D63" s="134" t="s">
        <v>816</v>
      </c>
      <c r="E63" s="129" t="s">
        <v>817</v>
      </c>
    </row>
    <row r="64" spans="1:5">
      <c r="A64" s="1"/>
      <c r="B64" t="s">
        <v>839</v>
      </c>
      <c r="C64" s="137">
        <v>0</v>
      </c>
      <c r="D64" s="138">
        <v>0</v>
      </c>
      <c r="E64" s="136">
        <f t="shared" ref="E64:E77" si="2">SUM(C64-D64)</f>
        <v>0</v>
      </c>
    </row>
    <row r="65" spans="1:5">
      <c r="A65" s="1"/>
      <c r="B65" t="s">
        <v>840</v>
      </c>
      <c r="C65" s="137">
        <v>550.95000000000005</v>
      </c>
      <c r="D65" s="138">
        <v>0</v>
      </c>
      <c r="E65" s="136">
        <f t="shared" si="2"/>
        <v>550.95000000000005</v>
      </c>
    </row>
    <row r="66" spans="1:5">
      <c r="A66" s="1"/>
      <c r="B66" t="s">
        <v>841</v>
      </c>
      <c r="C66" s="137">
        <v>0</v>
      </c>
      <c r="D66" s="138">
        <v>0</v>
      </c>
      <c r="E66" s="136">
        <f t="shared" si="2"/>
        <v>0</v>
      </c>
    </row>
    <row r="67" spans="1:5">
      <c r="A67" s="1"/>
      <c r="B67" t="s">
        <v>842</v>
      </c>
      <c r="C67" s="137">
        <v>0</v>
      </c>
      <c r="D67" s="138">
        <v>0</v>
      </c>
      <c r="E67" s="136">
        <f t="shared" si="2"/>
        <v>0</v>
      </c>
    </row>
    <row r="68" spans="1:5">
      <c r="A68" s="1"/>
      <c r="B68" t="s">
        <v>843</v>
      </c>
      <c r="C68" s="137">
        <v>502</v>
      </c>
      <c r="D68" s="138">
        <v>0</v>
      </c>
      <c r="E68" s="136">
        <f t="shared" si="2"/>
        <v>502</v>
      </c>
    </row>
    <row r="69" spans="1:5">
      <c r="A69" s="1"/>
      <c r="B69" t="s">
        <v>844</v>
      </c>
      <c r="C69" s="137">
        <v>0</v>
      </c>
      <c r="D69" s="138">
        <v>0</v>
      </c>
      <c r="E69" s="136">
        <f t="shared" si="2"/>
        <v>0</v>
      </c>
    </row>
    <row r="70" spans="1:5">
      <c r="A70" s="1"/>
      <c r="B70" t="s">
        <v>845</v>
      </c>
      <c r="C70" s="137">
        <v>0</v>
      </c>
      <c r="D70" s="138">
        <v>0</v>
      </c>
      <c r="E70" s="136">
        <f t="shared" si="2"/>
        <v>0</v>
      </c>
    </row>
    <row r="71" spans="1:5">
      <c r="A71" s="1"/>
      <c r="B71" t="s">
        <v>846</v>
      </c>
      <c r="C71" s="137">
        <v>0</v>
      </c>
      <c r="D71" s="138">
        <v>0</v>
      </c>
      <c r="E71" s="136">
        <f t="shared" si="2"/>
        <v>0</v>
      </c>
    </row>
    <row r="72" spans="1:5">
      <c r="A72" s="1"/>
      <c r="B72" t="s">
        <v>847</v>
      </c>
      <c r="C72" s="137">
        <v>0</v>
      </c>
      <c r="D72" s="138">
        <v>0</v>
      </c>
      <c r="E72" s="136">
        <f t="shared" si="2"/>
        <v>0</v>
      </c>
    </row>
    <row r="73" spans="1:5">
      <c r="A73" s="1"/>
      <c r="B73" t="s">
        <v>848</v>
      </c>
      <c r="C73" s="137">
        <v>709</v>
      </c>
      <c r="D73" s="138">
        <v>0</v>
      </c>
      <c r="E73" s="136">
        <f t="shared" si="2"/>
        <v>709</v>
      </c>
    </row>
    <row r="74" spans="1:5">
      <c r="A74" s="1"/>
      <c r="B74" t="s">
        <v>849</v>
      </c>
      <c r="C74" s="137">
        <v>58</v>
      </c>
      <c r="D74" s="138">
        <v>0</v>
      </c>
      <c r="E74" s="136">
        <f t="shared" si="2"/>
        <v>58</v>
      </c>
    </row>
    <row r="75" spans="1:5">
      <c r="A75" s="1"/>
      <c r="B75" t="s">
        <v>850</v>
      </c>
      <c r="C75" s="137">
        <v>0</v>
      </c>
      <c r="D75" s="138">
        <v>0</v>
      </c>
      <c r="E75" s="136">
        <f t="shared" si="2"/>
        <v>0</v>
      </c>
    </row>
    <row r="76" spans="1:5">
      <c r="A76" s="1"/>
      <c r="B76" t="s">
        <v>851</v>
      </c>
      <c r="C76" s="137">
        <v>100</v>
      </c>
      <c r="D76" s="138">
        <v>0</v>
      </c>
      <c r="E76" s="136">
        <f t="shared" si="2"/>
        <v>100</v>
      </c>
    </row>
    <row r="77" spans="1:5">
      <c r="A77" s="1"/>
      <c r="B77" t="s">
        <v>852</v>
      </c>
      <c r="C77" s="137">
        <v>203</v>
      </c>
      <c r="D77" s="138">
        <v>0</v>
      </c>
      <c r="E77" s="136">
        <f t="shared" si="2"/>
        <v>203</v>
      </c>
    </row>
    <row r="78" spans="1:5">
      <c r="A78" s="1"/>
      <c r="C78" s="137">
        <v>0</v>
      </c>
      <c r="D78" s="138">
        <v>0</v>
      </c>
      <c r="E78" s="136">
        <f t="shared" si="1"/>
        <v>0</v>
      </c>
    </row>
    <row r="79" spans="1:5">
      <c r="A79" s="1"/>
      <c r="C79" s="137">
        <v>0</v>
      </c>
      <c r="D79" s="138">
        <v>0</v>
      </c>
      <c r="E79" s="136">
        <f t="shared" si="1"/>
        <v>0</v>
      </c>
    </row>
    <row r="80" spans="1:5">
      <c r="A80" s="1"/>
      <c r="C80" s="137">
        <v>0</v>
      </c>
      <c r="D80" s="138">
        <v>0</v>
      </c>
      <c r="E80" s="136">
        <f t="shared" si="1"/>
        <v>0</v>
      </c>
    </row>
    <row r="81" spans="1:6">
      <c r="A81" s="1"/>
      <c r="C81" s="137">
        <v>0</v>
      </c>
      <c r="D81" s="138">
        <v>0</v>
      </c>
      <c r="E81" s="136">
        <f t="shared" si="1"/>
        <v>0</v>
      </c>
    </row>
    <row r="82" spans="1:6">
      <c r="A82" s="1"/>
      <c r="C82" s="137">
        <v>0</v>
      </c>
      <c r="D82" s="138">
        <v>0</v>
      </c>
      <c r="E82" s="136">
        <f t="shared" si="1"/>
        <v>0</v>
      </c>
    </row>
    <row r="83" spans="1:6">
      <c r="A83" s="1"/>
      <c r="C83" s="137">
        <v>0</v>
      </c>
      <c r="D83" s="138">
        <v>0</v>
      </c>
      <c r="E83" s="136">
        <f t="shared" si="1"/>
        <v>0</v>
      </c>
    </row>
    <row r="84" spans="1:6">
      <c r="A84" s="1"/>
      <c r="C84" s="137">
        <v>0</v>
      </c>
      <c r="D84" s="138">
        <v>0</v>
      </c>
      <c r="E84" s="136">
        <f t="shared" si="1"/>
        <v>0</v>
      </c>
    </row>
    <row r="85" spans="1:6">
      <c r="A85" s="1"/>
      <c r="C85" s="137">
        <v>0</v>
      </c>
      <c r="D85" s="138">
        <v>0</v>
      </c>
      <c r="E85" s="136">
        <f t="shared" si="1"/>
        <v>0</v>
      </c>
    </row>
    <row r="86" spans="1:6">
      <c r="A86" s="203"/>
      <c r="B86" s="204" t="s">
        <v>853</v>
      </c>
      <c r="C86" s="205">
        <f>SUM(C64:C85)</f>
        <v>2122.9499999999998</v>
      </c>
      <c r="D86" s="205">
        <f>SUM(D64:D85)</f>
        <v>0</v>
      </c>
      <c r="E86" s="214">
        <f>SUM(E64:E85)</f>
        <v>2122.9499999999998</v>
      </c>
    </row>
    <row r="87" spans="1:6">
      <c r="A87" s="125"/>
      <c r="B87" t="s">
        <v>838</v>
      </c>
      <c r="C87" s="120">
        <f>C61</f>
        <v>28344</v>
      </c>
      <c r="D87" s="120">
        <f>D61</f>
        <v>16340</v>
      </c>
      <c r="E87" s="213">
        <f>E61</f>
        <v>12004</v>
      </c>
    </row>
    <row r="88" spans="1:6">
      <c r="A88" s="125"/>
      <c r="B88" t="s">
        <v>854</v>
      </c>
      <c r="C88" s="211"/>
      <c r="D88" s="125"/>
      <c r="E88" s="133">
        <f>O31</f>
        <v>7740.02</v>
      </c>
      <c r="F88" s="33"/>
    </row>
    <row r="89" spans="1:6">
      <c r="A89" s="125"/>
      <c r="B89" s="125"/>
      <c r="C89" s="125" t="s">
        <v>770</v>
      </c>
      <c r="D89" t="s">
        <v>770</v>
      </c>
      <c r="E89" s="215">
        <f>SUM(E86:E88)</f>
        <v>21866.97</v>
      </c>
    </row>
  </sheetData>
  <sortState xmlns:xlrd2="http://schemas.microsoft.com/office/spreadsheetml/2017/richdata2" ref="A4:O8">
    <sortCondition ref="A4:A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7694-43A8-4DB1-A4B6-754241B53F0C}">
  <sheetPr>
    <tabColor rgb="FF7030A0"/>
  </sheetPr>
  <dimension ref="A1:I25"/>
  <sheetViews>
    <sheetView workbookViewId="0">
      <selection activeCell="G3" sqref="G3"/>
    </sheetView>
  </sheetViews>
  <sheetFormatPr defaultRowHeight="15"/>
  <cols>
    <col min="1" max="1" width="30.5703125" customWidth="1"/>
    <col min="2" max="3" width="12" customWidth="1"/>
    <col min="4" max="4" width="24" bestFit="1" customWidth="1"/>
    <col min="5" max="5" width="26.5703125" bestFit="1" customWidth="1"/>
    <col min="6" max="6" width="24.28515625" bestFit="1" customWidth="1"/>
    <col min="7" max="9" width="18.5703125" customWidth="1"/>
  </cols>
  <sheetData>
    <row r="1" spans="1:9">
      <c r="A1" s="113" t="s">
        <v>855</v>
      </c>
      <c r="B1" s="114" t="s">
        <v>1</v>
      </c>
      <c r="C1" s="114" t="s">
        <v>856</v>
      </c>
      <c r="D1" s="114" t="s">
        <v>857</v>
      </c>
      <c r="E1" s="114" t="s">
        <v>858</v>
      </c>
      <c r="F1" s="114" t="s">
        <v>859</v>
      </c>
      <c r="G1" s="115" t="s">
        <v>860</v>
      </c>
      <c r="H1" s="115" t="s">
        <v>861</v>
      </c>
      <c r="I1" s="116" t="s">
        <v>862</v>
      </c>
    </row>
    <row r="2" spans="1:9">
      <c r="A2" s="60" t="s">
        <v>863</v>
      </c>
      <c r="B2" s="61" t="s">
        <v>864</v>
      </c>
      <c r="C2" s="63" t="s">
        <v>33</v>
      </c>
      <c r="D2" s="62">
        <v>45541</v>
      </c>
      <c r="E2" s="62">
        <v>45586</v>
      </c>
      <c r="F2" s="62">
        <v>45897</v>
      </c>
      <c r="G2" s="9" t="s">
        <v>865</v>
      </c>
      <c r="H2" t="s">
        <v>866</v>
      </c>
      <c r="I2" s="56" t="s">
        <v>867</v>
      </c>
    </row>
    <row r="3" spans="1:9">
      <c r="A3" s="44" t="s">
        <v>868</v>
      </c>
      <c r="B3" t="s">
        <v>869</v>
      </c>
      <c r="C3" s="9" t="s">
        <v>33</v>
      </c>
      <c r="D3" s="55">
        <v>45497</v>
      </c>
      <c r="E3" s="55">
        <v>45636</v>
      </c>
      <c r="F3" s="55">
        <v>45833</v>
      </c>
      <c r="G3" s="139" t="s">
        <v>870</v>
      </c>
      <c r="H3" s="9" t="s">
        <v>871</v>
      </c>
      <c r="I3" s="56" t="s">
        <v>872</v>
      </c>
    </row>
    <row r="4" spans="1:9">
      <c r="A4" s="44"/>
      <c r="G4" s="9"/>
      <c r="I4" s="57"/>
    </row>
    <row r="5" spans="1:9">
      <c r="A5" s="44"/>
      <c r="G5" s="9"/>
      <c r="I5" s="57"/>
    </row>
    <row r="6" spans="1:9">
      <c r="A6" s="44"/>
      <c r="G6" s="9"/>
      <c r="I6" s="57"/>
    </row>
    <row r="7" spans="1:9">
      <c r="A7" s="44"/>
      <c r="G7" s="9"/>
      <c r="I7" s="57"/>
    </row>
    <row r="8" spans="1:9">
      <c r="A8" s="44"/>
      <c r="I8" s="57"/>
    </row>
    <row r="9" spans="1:9">
      <c r="A9" s="44"/>
      <c r="I9" s="57"/>
    </row>
    <row r="10" spans="1:9">
      <c r="A10" s="44"/>
      <c r="I10" s="57"/>
    </row>
    <row r="11" spans="1:9">
      <c r="A11" s="44"/>
      <c r="I11" s="57"/>
    </row>
    <row r="12" spans="1:9">
      <c r="A12" s="44"/>
      <c r="I12" s="57"/>
    </row>
    <row r="13" spans="1:9">
      <c r="A13" s="44"/>
      <c r="I13" s="57"/>
    </row>
    <row r="14" spans="1:9">
      <c r="A14" s="44"/>
      <c r="I14" s="57"/>
    </row>
    <row r="15" spans="1:9">
      <c r="A15" s="44"/>
      <c r="I15" s="57"/>
    </row>
    <row r="16" spans="1:9">
      <c r="A16" s="44"/>
      <c r="I16" s="57"/>
    </row>
    <row r="17" spans="1:9">
      <c r="A17" s="44"/>
      <c r="I17" s="57"/>
    </row>
    <row r="18" spans="1:9">
      <c r="A18" s="44"/>
      <c r="I18" s="57"/>
    </row>
    <row r="19" spans="1:9">
      <c r="A19" s="44"/>
      <c r="I19" s="57"/>
    </row>
    <row r="20" spans="1:9">
      <c r="A20" s="44"/>
      <c r="I20" s="57"/>
    </row>
    <row r="21" spans="1:9">
      <c r="A21" s="44"/>
      <c r="I21" s="57"/>
    </row>
    <row r="22" spans="1:9">
      <c r="A22" s="44"/>
      <c r="I22" s="57"/>
    </row>
    <row r="23" spans="1:9">
      <c r="A23" s="44"/>
      <c r="I23" s="57"/>
    </row>
    <row r="24" spans="1:9">
      <c r="A24" s="44"/>
      <c r="I24" s="57"/>
    </row>
    <row r="25" spans="1:9">
      <c r="A25" s="42"/>
      <c r="B25" s="58"/>
      <c r="C25" s="58"/>
      <c r="D25" s="58"/>
      <c r="E25" s="58"/>
      <c r="F25" s="58"/>
      <c r="G25" s="58"/>
      <c r="H25" s="58"/>
      <c r="I25" s="5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4788EC22688449C029EDD35BA55E2" ma:contentTypeVersion="6" ma:contentTypeDescription="Create a new document." ma:contentTypeScope="" ma:versionID="d6c0473987d0b59d5a917777c347acc9">
  <xsd:schema xmlns:xsd="http://www.w3.org/2001/XMLSchema" xmlns:xs="http://www.w3.org/2001/XMLSchema" xmlns:p="http://schemas.microsoft.com/office/2006/metadata/properties" xmlns:ns2="a21ff7a7-2535-46db-a8e2-61f104d9fb3d" xmlns:ns3="89e6b674-3bbc-4737-8f27-b34293c3c547" targetNamespace="http://schemas.microsoft.com/office/2006/metadata/properties" ma:root="true" ma:fieldsID="d2fd747cd101f3156bc0ba1b5d0bc997" ns2:_="" ns3:_="">
    <xsd:import namespace="a21ff7a7-2535-46db-a8e2-61f104d9fb3d"/>
    <xsd:import namespace="89e6b674-3bbc-4737-8f27-b34293c3c5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f7a7-2535-46db-a8e2-61f104d9fb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6b674-3bbc-4737-8f27-b34293c3c5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B1F193-841F-4BE9-858F-9D8E3CA71A88}"/>
</file>

<file path=customXml/itemProps2.xml><?xml version="1.0" encoding="utf-8"?>
<ds:datastoreItem xmlns:ds="http://schemas.openxmlformats.org/officeDocument/2006/customXml" ds:itemID="{25156595-9786-4B82-BC05-2B2E93E045C7}"/>
</file>

<file path=customXml/itemProps3.xml><?xml version="1.0" encoding="utf-8"?>
<ds:datastoreItem xmlns:ds="http://schemas.openxmlformats.org/officeDocument/2006/customXml" ds:itemID="{50D5A046-7E90-491B-B8E4-E9FE596EFB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2024-03-20T12:14:37Z</dcterms:created>
  <dcterms:modified xsi:type="dcterms:W3CDTF">2026-02-10T17:00:02Z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0x010100AD64788EC22688449C029EDD35BA55E2</vt:lpwstr>
  </property>
</Properties>
</file>